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ntri\Daily coding challenge\Excel\"/>
    </mc:Choice>
  </mc:AlternateContent>
  <xr:revisionPtr revIDLastSave="0" documentId="13_ncr:1_{12422A15-E9D8-4063-8747-294382B36D0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set" sheetId="1" r:id="rId1"/>
    <sheet name="Observation" sheetId="3" r:id="rId2"/>
    <sheet name="Changes Done" sheetId="6" r:id="rId3"/>
    <sheet name="Summary Table" sheetId="8" r:id="rId4"/>
    <sheet name="Text Function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0" l="1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P2" i="8"/>
  <c r="R4" i="8"/>
  <c r="R3" i="8"/>
  <c r="R2" i="8"/>
  <c r="Q4" i="8"/>
  <c r="Q3" i="8"/>
  <c r="Q2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A153" i="8"/>
  <c r="E155" i="8"/>
  <c r="E154" i="8"/>
  <c r="E153" i="8"/>
  <c r="E152" i="8"/>
  <c r="P3" i="8" l="1"/>
  <c r="P4" i="8"/>
</calcChain>
</file>

<file path=xl/sharedStrings.xml><?xml version="1.0" encoding="utf-8"?>
<sst xmlns="http://schemas.openxmlformats.org/spreadsheetml/2006/main" count="3307" uniqueCount="333">
  <si>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</si>
  <si>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</si>
  <si>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</si>
  <si>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</si>
  <si>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</si>
  <si>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</si>
  <si>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</si>
  <si>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</si>
  <si>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</si>
  <si>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</si>
  <si>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</si>
  <si>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</si>
  <si>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</si>
  <si>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</si>
  <si>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</si>
  <si>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</si>
  <si>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</si>
  <si>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</si>
  <si>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</si>
  <si>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</si>
  <si>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</si>
  <si>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</si>
  <si>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</si>
  <si>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</si>
  <si>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</si>
  <si>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</si>
  <si>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</si>
  <si>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</si>
  <si>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</si>
  <si>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</si>
  <si>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</si>
  <si>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</si>
  <si>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</si>
  <si>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</si>
  <si>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</si>
  <si>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</si>
  <si>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</si>
  <si>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</si>
  <si>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</si>
  <si>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</si>
  <si>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</si>
  <si>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</si>
  <si>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</si>
  <si>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</si>
  <si>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</si>
  <si>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</si>
  <si>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</si>
  <si>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</si>
  <si>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</si>
  <si>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</si>
  <si>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</si>
  <si>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</si>
  <si>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</si>
  <si>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</si>
  <si>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</si>
  <si>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</si>
  <si>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</si>
  <si>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</si>
  <si>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</si>
  <si>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</si>
  <si>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</si>
  <si>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</si>
  <si>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</si>
  <si>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</si>
  <si>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</si>
  <si>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</si>
  <si>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</si>
  <si>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</si>
  <si>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</si>
  <si>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</si>
  <si>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</si>
  <si>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</si>
  <si>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</si>
  <si>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</si>
  <si>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</si>
  <si>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</si>
  <si>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</si>
  <si>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</si>
  <si>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</si>
  <si>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</si>
  <si>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</si>
  <si>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</si>
  <si>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</si>
  <si>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</si>
  <si>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</si>
  <si>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</si>
  <si>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</si>
  <si>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</si>
  <si>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</si>
  <si>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</si>
  <si>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</si>
  <si>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</si>
  <si>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</si>
  <si>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</si>
  <si>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</si>
  <si>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</si>
  <si>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</si>
  <si>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</si>
  <si>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</si>
  <si>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</si>
  <si>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</si>
  <si>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</si>
  <si>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</si>
  <si>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</si>
  <si>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</si>
  <si>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</si>
  <si>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</si>
  <si>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</si>
  <si>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</si>
  <si>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</si>
  <si>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</si>
  <si>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</si>
  <si>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</si>
  <si>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</si>
  <si>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</si>
  <si>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</si>
  <si>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</si>
  <si>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</si>
  <si>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</si>
  <si>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</si>
  <si>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</si>
  <si>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</si>
  <si>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</si>
  <si>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</si>
  <si>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</si>
  <si>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</si>
  <si>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</si>
  <si>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</si>
  <si>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</si>
  <si>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</si>
  <si>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</si>
  <si>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</si>
  <si>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</si>
  <si>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</si>
  <si>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</si>
  <si>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</si>
  <si>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</si>
  <si>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</si>
  <si>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</si>
  <si>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</si>
  <si>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</si>
  <si>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</si>
  <si>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</si>
  <si>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</si>
  <si>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</si>
  <si>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</si>
  <si>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</si>
  <si>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</si>
  <si>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</si>
  <si>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</si>
  <si>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</si>
  <si>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</si>
  <si>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</si>
  <si>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</si>
  <si>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</si>
  <si>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</si>
  <si>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</si>
  <si>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</si>
  <si>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</si>
  <si>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</si>
  <si>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</si>
  <si>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</si>
  <si>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</si>
  <si>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</si>
  <si>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</si>
  <si>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</si>
  <si>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</si>
  <si>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</si>
  <si>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</si>
  <si>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</si>
  <si>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</si>
  <si>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</si>
  <si>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</si>
  <si>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</si>
  <si>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</si>
  <si>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</si>
  <si>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</si>
  <si>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</si>
  <si>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</si>
  <si>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</si>
  <si>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</si>
  <si>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</si>
  <si>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</si>
  <si>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</si>
  <si>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</si>
  <si>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</si>
  <si>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</si>
  <si>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</si>
  <si>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</si>
  <si>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</si>
  <si>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</si>
  <si>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</si>
  <si>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</si>
  <si>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</si>
  <si>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</si>
  <si>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</si>
  <si>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</si>
  <si>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</si>
  <si>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</si>
  <si>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</si>
  <si>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</si>
  <si>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</si>
  <si>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</si>
  <si>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</si>
  <si>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</si>
  <si>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</si>
  <si>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</si>
  <si>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</si>
  <si>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</si>
  <si>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</si>
  <si>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</si>
  <si>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</si>
  <si>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</si>
  <si>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</si>
  <si>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</si>
  <si>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</si>
  <si>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</si>
  <si>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</si>
  <si>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</si>
  <si>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</si>
  <si>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</si>
  <si>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</si>
  <si>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</si>
  <si>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</si>
  <si>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</si>
  <si>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</si>
  <si>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</si>
  <si>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</si>
  <si>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</si>
  <si>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</si>
  <si>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</si>
  <si>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</si>
  <si>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</si>
  <si>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</si>
  <si>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</si>
  <si>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</si>
  <si>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</si>
  <si>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</si>
  <si>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</si>
  <si>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</si>
  <si>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</si>
  <si>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</si>
  <si>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</si>
  <si>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</si>
  <si>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</si>
  <si>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</si>
  <si>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</si>
  <si>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</si>
  <si>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</si>
  <si>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</si>
  <si>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</si>
  <si>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</si>
  <si>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</si>
  <si>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</si>
  <si>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</si>
  <si>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</si>
  <si>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</si>
  <si>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</si>
  <si>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</si>
  <si>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</si>
  <si>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</si>
  <si>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</si>
  <si>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</si>
  <si>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</si>
  <si>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</si>
  <si>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</si>
  <si>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</si>
  <si>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</si>
  <si>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</si>
  <si>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</si>
  <si>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</si>
  <si>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</si>
  <si>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</si>
  <si>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</si>
  <si>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</si>
  <si>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</si>
  <si>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</si>
  <si>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</si>
  <si>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</si>
  <si>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</si>
  <si>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</si>
  <si>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Observations of Employee Details:</t>
  </si>
  <si>
    <r>
      <t xml:space="preserve">1.Total Rows - 151 including header row 
   Total columns - 9 Columns.
    So the </t>
    </r>
    <r>
      <rPr>
        <sz val="11"/>
        <color rgb="FFFF0000"/>
        <rFont val="Calibri"/>
        <family val="2"/>
        <scheme val="minor"/>
      </rPr>
      <t>Data Range is $A$1:$I$151</t>
    </r>
  </si>
  <si>
    <r>
      <t>2.</t>
    </r>
    <r>
      <rPr>
        <sz val="11"/>
        <color rgb="FFFF0000"/>
        <rFont val="Calibri"/>
        <family val="2"/>
        <scheme val="minor"/>
      </rPr>
      <t xml:space="preserve">Categorical Datatype - </t>
    </r>
    <r>
      <rPr>
        <sz val="11"/>
        <color theme="1"/>
        <rFont val="Calibri"/>
        <family val="2"/>
        <scheme val="minor"/>
      </rPr>
      <t xml:space="preserve">Employee ID,Name,Department,Country,Gender,Email 
    </t>
    </r>
    <r>
      <rPr>
        <sz val="11"/>
        <color rgb="FFFF0000"/>
        <rFont val="Calibri"/>
        <family val="2"/>
        <scheme val="minor"/>
      </rPr>
      <t xml:space="preserve">Numerical data type - </t>
    </r>
    <r>
      <rPr>
        <sz val="11"/>
        <rFont val="Calibri"/>
        <family val="2"/>
        <scheme val="minor"/>
      </rPr>
      <t xml:space="preserve">salary,Date of Joining, Performance rating </t>
    </r>
  </si>
  <si>
    <t xml:space="preserve">3.Out of 150 records Missing values as follows
</t>
  </si>
  <si>
    <t>Comparing all ,More no.of values missing in Gender Column  and in Email column 5 values are missing</t>
  </si>
  <si>
    <t>4. The maximun paid salary - 99621
     The minimum paid salary - 30280
     Average of the Total salary - 66281</t>
  </si>
  <si>
    <t>Changes Done:</t>
  </si>
  <si>
    <r>
      <t>3.Headers</t>
    </r>
    <r>
      <rPr>
        <b/>
        <sz val="11"/>
        <color rgb="FF00B050"/>
        <rFont val="Calibri"/>
        <family val="2"/>
        <scheme val="minor"/>
      </rPr>
      <t xml:space="preserve"> fornt size increased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colors filled</t>
    </r>
  </si>
  <si>
    <r>
      <t>4.</t>
    </r>
    <r>
      <rPr>
        <b/>
        <sz val="11"/>
        <color rgb="FF00B050"/>
        <rFont val="Calibri"/>
        <family val="2"/>
        <scheme val="minor"/>
      </rPr>
      <t>Align the Data</t>
    </r>
    <r>
      <rPr>
        <sz val="11"/>
        <color theme="1"/>
        <rFont val="Calibri"/>
        <family val="2"/>
        <scheme val="minor"/>
      </rPr>
      <t xml:space="preserve">
Left align - Text
Right align - Numbers</t>
    </r>
  </si>
  <si>
    <r>
      <t>3.</t>
    </r>
    <r>
      <rPr>
        <b/>
        <sz val="11"/>
        <color rgb="FF00B050"/>
        <rFont val="Calibri"/>
        <family val="2"/>
        <scheme val="minor"/>
      </rPr>
      <t>Table created</t>
    </r>
    <r>
      <rPr>
        <sz val="11"/>
        <color theme="1"/>
        <rFont val="Calibri"/>
        <family val="2"/>
        <scheme val="minor"/>
      </rPr>
      <t xml:space="preserve"> for the data range</t>
    </r>
  </si>
  <si>
    <r>
      <t xml:space="preserve">1. </t>
    </r>
    <r>
      <rPr>
        <b/>
        <sz val="11"/>
        <color rgb="FF00B050"/>
        <rFont val="Calibri"/>
        <family val="2"/>
        <scheme val="minor"/>
      </rPr>
      <t>Freeze the Header</t>
    </r>
    <r>
      <rPr>
        <sz val="11"/>
        <color theme="1"/>
        <rFont val="Calibri"/>
        <family val="2"/>
        <scheme val="minor"/>
      </rPr>
      <t xml:space="preserve"> for given Dataset.
  This helps in easy understanding and analyzing the data what we are looking for,
  when working in the large dataset,</t>
    </r>
  </si>
  <si>
    <r>
      <t xml:space="preserve">2. </t>
    </r>
    <r>
      <rPr>
        <b/>
        <sz val="11"/>
        <color rgb="FF00B050"/>
        <rFont val="Calibri"/>
        <family val="2"/>
        <scheme val="minor"/>
      </rPr>
      <t>Autofit the Columns width</t>
    </r>
    <r>
      <rPr>
        <sz val="11"/>
        <color theme="1"/>
        <rFont val="Calibri"/>
        <family val="2"/>
        <scheme val="minor"/>
      </rPr>
      <t xml:space="preserve"> for given Dataset</t>
    </r>
  </si>
  <si>
    <t>Task2: Make your dataset look clean and readable.</t>
  </si>
  <si>
    <t>5.Edit the Header titles as Initial caps format.</t>
  </si>
  <si>
    <t>Sum of all Salary</t>
  </si>
  <si>
    <t>Function</t>
  </si>
  <si>
    <t>Result</t>
  </si>
  <si>
    <t>Average of total salary</t>
  </si>
  <si>
    <t>Maximum of Salary</t>
  </si>
  <si>
    <t>Minimum of Salary</t>
  </si>
  <si>
    <t>Employees Count</t>
  </si>
  <si>
    <t>Total</t>
  </si>
  <si>
    <t>Average</t>
  </si>
  <si>
    <t>Minimum</t>
  </si>
  <si>
    <t>Maximum</t>
  </si>
  <si>
    <t>Count</t>
  </si>
  <si>
    <t>Summary Table - Task3</t>
  </si>
  <si>
    <t>Syntax</t>
  </si>
  <si>
    <t>Autosum</t>
  </si>
  <si>
    <t>average(E2:E151)</t>
  </si>
  <si>
    <t>maximum(E2:E151)</t>
  </si>
  <si>
    <t>minimum(E2:E151)</t>
  </si>
  <si>
    <t>CountA(E2:E151)</t>
  </si>
  <si>
    <t>SUMIF</t>
  </si>
  <si>
    <t>Status</t>
  </si>
  <si>
    <t>High</t>
  </si>
  <si>
    <t>Medium</t>
  </si>
  <si>
    <t>Low</t>
  </si>
  <si>
    <t>AVERAGEIF</t>
  </si>
  <si>
    <t>COUNTIF</t>
  </si>
  <si>
    <t>REMARK</t>
  </si>
  <si>
    <t>Sum the Salary where Status is "High"</t>
  </si>
  <si>
    <t>Average of Salary where Status is "Medium"</t>
  </si>
  <si>
    <t>Count Status where status is "low"</t>
  </si>
  <si>
    <t>sam wilson</t>
  </si>
  <si>
    <t>chris lee</t>
  </si>
  <si>
    <t>John doe</t>
  </si>
  <si>
    <t>RIGHT(ID)</t>
  </si>
  <si>
    <t>eve Adams</t>
  </si>
  <si>
    <t>UPPER(Country)</t>
  </si>
  <si>
    <t>PROPER(Name)</t>
  </si>
  <si>
    <t>LOWER(Country)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</si>
</sst>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$-14009]dd/mm/yyyy;@"/>
    <numFmt numFmtId="166" formatCode="[$-14009]yyyy/mm/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7" fillId="3" borderId="0" xfId="0" applyFont="1" applyFill="1"/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65" fontId="4" fillId="3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2" fontId="0" fillId="0" borderId="0" xfId="0" applyNumberFormat="1"/>
    <xf numFmtId="0" fontId="1" fillId="0" borderId="0" xfId="0" applyFont="1"/>
    <xf numFmtId="0" fontId="1" fillId="0" borderId="19" xfId="0" applyFont="1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22" xfId="0" applyFont="1" applyFill="1" applyBorder="1"/>
    <xf numFmtId="0" fontId="1" fillId="4" borderId="10" xfId="0" applyFont="1" applyFill="1" applyBorder="1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166" formatCode="[$-14009]yyyy/mm/dd;@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[$-14009]dd/mm/yyyy;@"/>
    </dxf>
    <dxf>
      <numFmt numFmtId="165" formatCode="[$-14009]dd/mm/yyyy;@"/>
    </dxf>
    <dxf>
      <numFmt numFmtId="2" formatCode="0.00"/>
    </dxf>
    <dxf>
      <numFmt numFmtId="2" formatCode="0.00"/>
    </dxf>
    <dxf>
      <fill>
        <patternFill patternType="solid">
          <fgColor indexed="64"/>
          <bgColor rgb="FF0070C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Missing</a:t>
            </a:r>
            <a:r>
              <a:rPr lang="en-US" sz="1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values</a:t>
            </a:r>
            <a:endParaRPr lang="en-US" sz="10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Name</c:v>
              </c:pt>
              <c:pt idx="1">
                <c:v>Department</c:v>
              </c:pt>
              <c:pt idx="2">
                <c:v>Country</c:v>
              </c:pt>
              <c:pt idx="3">
                <c:v>Salary N/A</c:v>
              </c:pt>
              <c:pt idx="4">
                <c:v>Date of Joining</c:v>
              </c:pt>
              <c:pt idx="5">
                <c:v>Performance rating</c:v>
              </c:pt>
              <c:pt idx="6">
                <c:v>Gender</c:v>
              </c:pt>
              <c:pt idx="7">
                <c:v>Email</c:v>
              </c:pt>
            </c:strLit>
          </c:cat>
          <c:val>
            <c:numLit>
              <c:formatCode>General</c:formatCode>
              <c:ptCount val="8"/>
              <c:pt idx="0">
                <c:v>10</c:v>
              </c:pt>
              <c:pt idx="1">
                <c:v>24</c:v>
              </c:pt>
              <c:pt idx="2">
                <c:v>31</c:v>
              </c:pt>
              <c:pt idx="3">
                <c:v>8</c:v>
              </c:pt>
              <c:pt idx="4">
                <c:v>9</c:v>
              </c:pt>
              <c:pt idx="5">
                <c:v>25</c:v>
              </c:pt>
              <c:pt idx="6">
                <c:v>44</c:v>
              </c:pt>
              <c:pt idx="7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267F-4C42-AB6D-BAB928BB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212175"/>
        <c:axId val="278208335"/>
      </c:barChart>
      <c:catAx>
        <c:axId val="27821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8208335"/>
        <c:crosses val="autoZero"/>
        <c:auto val="1"/>
        <c:lblAlgn val="ctr"/>
        <c:lblOffset val="100"/>
        <c:noMultiLvlLbl val="0"/>
      </c:catAx>
      <c:valAx>
        <c:axId val="27820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21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3</xdr:row>
      <xdr:rowOff>312420</xdr:rowOff>
    </xdr:from>
    <xdr:to>
      <xdr:col>0</xdr:col>
      <xdr:colOff>4907280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46561-69CE-485D-BDAE-193D6E1FB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4ADCF-DC18-490B-95FF-12508CBE9CD7}" name="Table1" displayName="Table1" ref="A1:I151" totalsRowShown="0" headerRowDxfId="25" headerRowBorderDxfId="24" tableBorderDxfId="23">
  <autoFilter ref="A1:I151" xr:uid="{AB94ADCF-DC18-490B-95FF-12508CBE9CD7}"/>
  <tableColumns count="9">
    <tableColumn id="1" xr3:uid="{0C2B94C5-D3A8-4029-A74A-7DC6A908DB9B}" name="Employee ID" dataDxfId="22"/>
    <tableColumn id="2" xr3:uid="{F6269436-8156-479F-9A45-F61AC9BB61AA}" name="Name"/>
    <tableColumn id="3" xr3:uid="{D567D8B9-E0BA-4FC0-9FFE-257173926229}" name="Department"/>
    <tableColumn id="4" xr3:uid="{D7EC0E32-2A4E-44CA-8BB8-ECF6AA49572D}" name="Country"/>
    <tableColumn id="5" xr3:uid="{3782D770-D7AB-48CC-8269-FE034A9D308E}" name="Salary" dataDxfId="21"/>
    <tableColumn id="6" xr3:uid="{A959B731-0ABF-47E9-B26B-3C6401F79B68}" name="Date of Joining" dataDxfId="20"/>
    <tableColumn id="7" xr3:uid="{5DD618B6-CB90-4E35-AC2F-81D65F756B7A}" name="Performance Rating"/>
    <tableColumn id="8" xr3:uid="{50371C92-82F4-4E1C-8300-4D0511E91C5C}" name="Gender"/>
    <tableColumn id="9" xr3:uid="{3F916125-A170-412E-B4CE-728E5ABFA4BC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F0E107-BC98-4678-A441-22BC6225EF64}" name="Table13" displayName="Table13" ref="A1:J152" totalsRowCount="1" headerRowDxfId="19" headerRowBorderDxfId="18" tableBorderDxfId="17">
  <autoFilter ref="A1:J151" xr:uid="{AB94ADCF-DC18-490B-95FF-12508CBE9CD7}"/>
  <tableColumns count="10">
    <tableColumn id="1" xr3:uid="{CEF27D29-E940-4133-BCD3-6CB7FC83AEAF}" name="Employee ID" totalsRowDxfId="16"/>
    <tableColumn id="2" xr3:uid="{270194E3-3E6C-4723-B403-F7BDBA1ED55F}" name="Name"/>
    <tableColumn id="3" xr3:uid="{DEDC388A-11B9-4607-8559-C93AC4129C36}" name="Department"/>
    <tableColumn id="4" xr3:uid="{465FA44C-224B-48FC-B71B-00559298CA33}" name="Country" totalsRowLabel="Total" totalsRowDxfId="15"/>
    <tableColumn id="5" xr3:uid="{024C8B29-A23B-4676-9742-F9C7C92671A4}" name="Salary" totalsRowFunction="sum" totalsRowDxfId="14"/>
    <tableColumn id="13" xr3:uid="{E216490E-7FE6-4DDC-9659-0A5D7F3582CD}" name="Status" dataDxfId="13" totalsRowDxfId="12">
      <calculatedColumnFormula>IF(ISNUMBER(E2),IF(E2&gt;75000,"High",IF(E2&gt;50000,"Medium","Low")),"N/A")</calculatedColumnFormula>
    </tableColumn>
    <tableColumn id="6" xr3:uid="{FD33067A-7176-4329-9D21-6552F31A442D}" name="Date of Joining" dataDxfId="11" totalsRowDxfId="10"/>
    <tableColumn id="7" xr3:uid="{8D2C87C8-58CF-46C6-963A-D4A4728A3998}" name="Performance Rating"/>
    <tableColumn id="8" xr3:uid="{2F76CDCA-4B4B-427B-B268-FD6DDADA54C1}" name="Gender"/>
    <tableColumn id="9" xr3:uid="{E0D5455D-4F1D-467F-B01F-A719A74CF6A1}" name="Emai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96539A-43A4-47E5-B616-3F9CE6697D20}" name="Table14" displayName="Table14" ref="A1:M151" totalsRowShown="0" headerRowDxfId="9" headerRowBorderDxfId="8" tableBorderDxfId="7">
  <autoFilter ref="A1:M151" xr:uid="{AB94ADCF-DC18-490B-95FF-12508CBE9CD7}"/>
  <tableColumns count="13">
    <tableColumn id="1" xr3:uid="{10F33C4D-998C-4C84-98B1-927F1FAD1E64}" name="Employee ID" dataDxfId="6"/>
    <tableColumn id="2" xr3:uid="{4A6B9CAF-BF4B-442F-B66E-D2C3805FD52A}" name="Name"/>
    <tableColumn id="3" xr3:uid="{7265B2FE-028F-4C55-9EDA-682CB8AE001C}" name="Department"/>
    <tableColumn id="4" xr3:uid="{030AC2DF-3453-4AA0-850A-5F050862CE9B}" name="Country"/>
    <tableColumn id="5" xr3:uid="{56217F0F-E900-4EAB-9E39-BE85FC14E872}" name="Salary" dataDxfId="5"/>
    <tableColumn id="6" xr3:uid="{3FA8F74C-4566-490C-9476-E07881D8C432}" name="Date of Joining" dataDxfId="4"/>
    <tableColumn id="7" xr3:uid="{B2867E31-F1AB-4787-9EB6-CF94E1A6CFA5}" name="Performance Rating"/>
    <tableColumn id="8" xr3:uid="{3C14B417-4574-4DCE-92A7-E8849E4DA509}" name="Gender"/>
    <tableColumn id="9" xr3:uid="{769C9246-8DC9-430D-9F37-F1F9F5964DCC}" name="Email"/>
    <tableColumn id="14" xr3:uid="{464C7E3D-3827-4038-BB16-C120292050DA}" name="RIGHT(ID)" dataDxfId="3">
      <calculatedColumnFormula>RIGHT(Table14[[#This Row],[Employee ID]],4)</calculatedColumnFormula>
    </tableColumn>
    <tableColumn id="15" xr3:uid="{55CB3A0C-BAA5-49F6-92E3-5CF9B755F893}" name="PROPER(Name)" dataDxfId="2">
      <calculatedColumnFormula>PROPER(Table14[[#This Row],[Name]])</calculatedColumnFormula>
    </tableColumn>
    <tableColumn id="16" xr3:uid="{8EEE00F1-0823-41F4-A226-1D8C44FF73BC}" name="UPPER(Country)" dataDxfId="1">
      <calculatedColumnFormula>UPPER(Table14[[#This Row],[Country]])</calculatedColumnFormula>
    </tableColumn>
    <tableColumn id="17" xr3:uid="{A6926BEB-4B92-4838-ABE7-66A8FB074776}" name="LOWER(Country)" dataDxfId="0">
      <calculatedColumnFormula>LOWER(Table14[[#This Row],[Country]])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J147" sqref="J147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FC16-2AAD-4362-87C8-E37C1B047539}">
  <dimension ref="A1:A17"/>
  <sheetViews>
    <sheetView workbookViewId="0">
      <selection activeCell="A17" sqref="A17"/>
    </sheetView>
  </sheetViews>
  <sheetFormatPr defaultRowHeight="14.4" x14ac:dyDescent="0.3"/>
  <cols>
    <col min="1" max="1" width="79.21875" style="4" customWidth="1"/>
  </cols>
  <sheetData>
    <row r="1" spans="1:1" ht="15.6" x14ac:dyDescent="0.3">
      <c r="A1" s="3" t="s">
        <v>281</v>
      </c>
    </row>
    <row r="2" spans="1:1" ht="43.2" x14ac:dyDescent="0.3">
      <c r="A2" s="4" t="s">
        <v>282</v>
      </c>
    </row>
    <row r="3" spans="1:1" ht="28.8" x14ac:dyDescent="0.3">
      <c r="A3" s="4" t="s">
        <v>283</v>
      </c>
    </row>
    <row r="4" spans="1:1" ht="28.8" x14ac:dyDescent="0.3">
      <c r="A4" s="4" t="s">
        <v>284</v>
      </c>
    </row>
    <row r="16" spans="1:1" ht="28.8" x14ac:dyDescent="0.3">
      <c r="A16" s="4" t="s">
        <v>285</v>
      </c>
    </row>
    <row r="17" spans="1:1" ht="43.2" x14ac:dyDescent="0.3">
      <c r="A17" s="4" t="s">
        <v>286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1CD7-9092-4591-A040-9F8358D9D486}">
  <dimension ref="A1:K151"/>
  <sheetViews>
    <sheetView workbookViewId="0">
      <pane ySplit="1" topLeftCell="A2" activePane="bottomLeft" state="frozen"/>
      <selection activeCell="B1" sqref="B1"/>
      <selection pane="bottomLeft" activeCell="K1" sqref="K1:K1048576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88671875" bestFit="1" customWidth="1"/>
    <col min="5" max="5" width="11" bestFit="1" customWidth="1"/>
    <col min="6" max="6" width="19.5546875" bestFit="1" customWidth="1"/>
    <col min="7" max="7" width="24" bestFit="1" customWidth="1"/>
    <col min="8" max="8" width="12.33203125" bestFit="1" customWidth="1"/>
    <col min="9" max="9" width="20.44140625" bestFit="1" customWidth="1"/>
    <col min="11" max="11" width="66.6640625" customWidth="1"/>
  </cols>
  <sheetData>
    <row r="1" spans="1:11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K1" s="6" t="s">
        <v>293</v>
      </c>
    </row>
    <row r="2" spans="1:11" x14ac:dyDescent="0.3">
      <c r="A2" s="7" t="s">
        <v>9</v>
      </c>
      <c r="C2" t="s">
        <v>166</v>
      </c>
      <c r="D2" s="7" t="s">
        <v>171</v>
      </c>
      <c r="E2" s="9" t="s">
        <v>177</v>
      </c>
      <c r="G2">
        <v>2</v>
      </c>
      <c r="H2" t="s">
        <v>178</v>
      </c>
      <c r="I2" t="s">
        <v>182</v>
      </c>
    </row>
    <row r="3" spans="1:11" ht="15.6" x14ac:dyDescent="0.3">
      <c r="A3" s="7" t="s">
        <v>10</v>
      </c>
      <c r="B3" s="7" t="s">
        <v>159</v>
      </c>
      <c r="C3" s="7" t="s">
        <v>167</v>
      </c>
      <c r="D3" s="7" t="s">
        <v>172</v>
      </c>
      <c r="E3" s="9">
        <v>54255</v>
      </c>
      <c r="F3" s="10">
        <v>42015</v>
      </c>
      <c r="G3" s="9">
        <v>1</v>
      </c>
      <c r="H3" t="s">
        <v>179</v>
      </c>
      <c r="I3" t="s">
        <v>183</v>
      </c>
      <c r="K3" s="5" t="s">
        <v>287</v>
      </c>
    </row>
    <row r="4" spans="1:11" ht="57.6" x14ac:dyDescent="0.3">
      <c r="A4" s="7" t="s">
        <v>11</v>
      </c>
      <c r="B4" s="7" t="s">
        <v>160</v>
      </c>
      <c r="C4" s="7" t="s">
        <v>166</v>
      </c>
      <c r="D4" s="7" t="s">
        <v>172</v>
      </c>
      <c r="E4" s="9">
        <v>63184</v>
      </c>
      <c r="F4" s="10">
        <v>42022</v>
      </c>
      <c r="G4" s="9">
        <v>2</v>
      </c>
      <c r="I4" t="s">
        <v>184</v>
      </c>
      <c r="K4" s="4" t="s">
        <v>291</v>
      </c>
    </row>
    <row r="5" spans="1:1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9">
        <v>94406</v>
      </c>
      <c r="F5" s="10">
        <v>42029</v>
      </c>
      <c r="G5" s="9">
        <v>1</v>
      </c>
      <c r="H5" t="s">
        <v>180</v>
      </c>
      <c r="I5" t="s">
        <v>185</v>
      </c>
      <c r="K5" t="s">
        <v>292</v>
      </c>
    </row>
    <row r="6" spans="1:1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9">
        <v>64120</v>
      </c>
      <c r="F6" s="10">
        <v>42036</v>
      </c>
      <c r="G6" s="9">
        <v>1</v>
      </c>
      <c r="H6" t="s">
        <v>180</v>
      </c>
      <c r="I6" t="s">
        <v>186</v>
      </c>
      <c r="K6" t="s">
        <v>290</v>
      </c>
    </row>
    <row r="7" spans="1:1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9">
        <v>78421</v>
      </c>
      <c r="F7" s="10">
        <v>42043</v>
      </c>
      <c r="G7" s="9">
        <v>2</v>
      </c>
      <c r="H7" t="s">
        <v>181</v>
      </c>
      <c r="I7" t="s">
        <v>187</v>
      </c>
      <c r="K7" t="s">
        <v>288</v>
      </c>
    </row>
    <row r="8" spans="1:11" ht="43.2" x14ac:dyDescent="0.3">
      <c r="A8" s="7" t="s">
        <v>15</v>
      </c>
      <c r="B8" s="7" t="s">
        <v>163</v>
      </c>
      <c r="C8" s="7" t="s">
        <v>168</v>
      </c>
      <c r="D8" s="7"/>
      <c r="E8" s="9">
        <v>67721</v>
      </c>
      <c r="F8" s="10">
        <v>42050</v>
      </c>
      <c r="G8" s="9"/>
      <c r="H8" t="s">
        <v>180</v>
      </c>
      <c r="I8" t="s">
        <v>185</v>
      </c>
      <c r="K8" s="4" t="s">
        <v>289</v>
      </c>
    </row>
    <row r="9" spans="1:11" x14ac:dyDescent="0.3">
      <c r="A9" s="7" t="s">
        <v>16</v>
      </c>
      <c r="B9" s="7" t="s">
        <v>164</v>
      </c>
      <c r="C9" s="7" t="s">
        <v>170</v>
      </c>
      <c r="D9" s="7"/>
      <c r="E9" s="9">
        <v>35364</v>
      </c>
      <c r="F9" s="10">
        <v>42057</v>
      </c>
      <c r="G9" s="9">
        <v>2</v>
      </c>
      <c r="H9" t="s">
        <v>179</v>
      </c>
      <c r="I9" t="s">
        <v>188</v>
      </c>
      <c r="K9" t="s">
        <v>294</v>
      </c>
    </row>
    <row r="10" spans="1:1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9">
        <v>97881</v>
      </c>
      <c r="F10" s="10">
        <v>42064</v>
      </c>
      <c r="G10" s="9"/>
      <c r="H10" t="s">
        <v>181</v>
      </c>
      <c r="I10" t="s">
        <v>189</v>
      </c>
    </row>
    <row r="11" spans="1:1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9">
        <v>91846</v>
      </c>
      <c r="F11" s="10">
        <v>42071</v>
      </c>
      <c r="G11" s="9"/>
      <c r="H11" t="s">
        <v>180</v>
      </c>
      <c r="I11" t="s">
        <v>190</v>
      </c>
    </row>
    <row r="12" spans="1:1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9">
        <v>64247</v>
      </c>
      <c r="F12" s="10">
        <v>42078</v>
      </c>
      <c r="G12" s="9">
        <v>1</v>
      </c>
      <c r="H12" t="s">
        <v>181</v>
      </c>
      <c r="I12" t="s">
        <v>191</v>
      </c>
    </row>
    <row r="13" spans="1:1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9">
        <v>91180</v>
      </c>
      <c r="F13" s="10">
        <v>42085</v>
      </c>
      <c r="G13" s="9">
        <v>5</v>
      </c>
      <c r="H13" t="s">
        <v>180</v>
      </c>
      <c r="I13" t="s">
        <v>192</v>
      </c>
    </row>
    <row r="14" spans="1:11" x14ac:dyDescent="0.3">
      <c r="A14" s="7" t="s">
        <v>21</v>
      </c>
      <c r="B14" s="7" t="s">
        <v>165</v>
      </c>
      <c r="C14" s="7" t="s">
        <v>168</v>
      </c>
      <c r="D14" s="7"/>
      <c r="E14" s="9">
        <v>96418</v>
      </c>
      <c r="F14" s="10">
        <v>42092</v>
      </c>
      <c r="G14" s="9">
        <v>5</v>
      </c>
      <c r="H14" t="s">
        <v>180</v>
      </c>
      <c r="I14" t="s">
        <v>183</v>
      </c>
    </row>
    <row r="15" spans="1:11" x14ac:dyDescent="0.3">
      <c r="A15" s="7" t="s">
        <v>22</v>
      </c>
      <c r="B15" s="7" t="s">
        <v>163</v>
      </c>
      <c r="C15" s="7"/>
      <c r="D15" s="7" t="s">
        <v>174</v>
      </c>
      <c r="E15" s="9">
        <v>62158</v>
      </c>
      <c r="F15" s="10">
        <v>42099</v>
      </c>
      <c r="G15" s="9">
        <v>4</v>
      </c>
      <c r="I15" t="s">
        <v>193</v>
      </c>
    </row>
    <row r="16" spans="1:11" x14ac:dyDescent="0.3">
      <c r="A16" s="7" t="s">
        <v>23</v>
      </c>
      <c r="B16" s="7" t="s">
        <v>162</v>
      </c>
      <c r="C16" s="7" t="s">
        <v>167</v>
      </c>
      <c r="D16" s="7"/>
      <c r="E16" s="9">
        <v>59894</v>
      </c>
      <c r="F16" s="10">
        <v>42106</v>
      </c>
      <c r="G16" s="9">
        <v>2</v>
      </c>
      <c r="H16" t="s">
        <v>180</v>
      </c>
      <c r="I16" t="s">
        <v>194</v>
      </c>
    </row>
    <row r="17" spans="1:9" x14ac:dyDescent="0.3">
      <c r="A17" s="7" t="s">
        <v>24</v>
      </c>
      <c r="B17" s="7"/>
      <c r="C17" s="7" t="s">
        <v>169</v>
      </c>
      <c r="D17" s="7" t="s">
        <v>174</v>
      </c>
      <c r="E17" s="9">
        <v>92443</v>
      </c>
      <c r="F17" s="10">
        <v>42113</v>
      </c>
      <c r="G17" s="9">
        <v>3</v>
      </c>
      <c r="H17" t="s">
        <v>179</v>
      </c>
      <c r="I17" t="s">
        <v>195</v>
      </c>
    </row>
    <row r="18" spans="1:9" x14ac:dyDescent="0.3">
      <c r="A18" s="7" t="s">
        <v>25</v>
      </c>
      <c r="B18" s="7" t="s">
        <v>165</v>
      </c>
      <c r="C18" s="7"/>
      <c r="D18" s="7" t="s">
        <v>172</v>
      </c>
      <c r="E18" s="9">
        <v>90271</v>
      </c>
      <c r="F18" s="10">
        <v>42120</v>
      </c>
      <c r="G18" s="9"/>
      <c r="I18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9">
        <v>41341</v>
      </c>
      <c r="F19" s="10">
        <v>42127</v>
      </c>
      <c r="G19" s="9">
        <v>1</v>
      </c>
      <c r="H19" t="s">
        <v>179</v>
      </c>
      <c r="I19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9">
        <v>73602</v>
      </c>
      <c r="F20" s="10">
        <v>42134</v>
      </c>
      <c r="G20" s="9"/>
      <c r="I20" t="s">
        <v>198</v>
      </c>
    </row>
    <row r="21" spans="1:9" x14ac:dyDescent="0.3">
      <c r="A21" s="7" t="s">
        <v>28</v>
      </c>
      <c r="B21" s="7" t="s">
        <v>159</v>
      </c>
      <c r="C21" s="7"/>
      <c r="D21" s="7" t="s">
        <v>174</v>
      </c>
      <c r="E21" s="9">
        <v>67531</v>
      </c>
      <c r="F21" s="10">
        <v>42141</v>
      </c>
      <c r="G21" s="9">
        <v>5</v>
      </c>
      <c r="H21" t="s">
        <v>181</v>
      </c>
      <c r="I21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9" t="s">
        <v>177</v>
      </c>
      <c r="F22" s="10">
        <v>42148</v>
      </c>
      <c r="G22" s="9">
        <v>2</v>
      </c>
      <c r="H22" t="s">
        <v>179</v>
      </c>
      <c r="I22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/>
      <c r="E23" s="9">
        <v>98922</v>
      </c>
      <c r="F23" s="10">
        <v>42155</v>
      </c>
      <c r="G23" s="9">
        <v>4</v>
      </c>
      <c r="I23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9">
        <v>38333</v>
      </c>
      <c r="F24" s="10">
        <v>42162</v>
      </c>
      <c r="G24" s="9">
        <v>5</v>
      </c>
      <c r="I24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9">
        <v>36515</v>
      </c>
      <c r="F25" s="10">
        <v>42169</v>
      </c>
      <c r="G25" s="9">
        <v>3</v>
      </c>
      <c r="H25" t="s">
        <v>180</v>
      </c>
      <c r="I25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/>
      <c r="E26" s="9">
        <v>91005</v>
      </c>
      <c r="F26" s="10">
        <v>42176</v>
      </c>
      <c r="G26" s="9">
        <v>1</v>
      </c>
      <c r="H26" t="s">
        <v>179</v>
      </c>
      <c r="I26" t="s">
        <v>204</v>
      </c>
    </row>
    <row r="27" spans="1:9" x14ac:dyDescent="0.3">
      <c r="A27" s="7" t="s">
        <v>34</v>
      </c>
      <c r="B27" s="7" t="s">
        <v>164</v>
      </c>
      <c r="C27" s="7"/>
      <c r="D27" s="7" t="s">
        <v>171</v>
      </c>
      <c r="E27" s="9">
        <v>52272</v>
      </c>
      <c r="F27" s="10">
        <v>42183</v>
      </c>
      <c r="G27" s="9">
        <v>3</v>
      </c>
      <c r="I2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9">
        <v>76518</v>
      </c>
      <c r="F28" s="10">
        <v>42190</v>
      </c>
      <c r="G28" s="9">
        <v>2</v>
      </c>
      <c r="H28" t="s">
        <v>181</v>
      </c>
      <c r="I28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9">
        <v>41448</v>
      </c>
      <c r="F29" s="10">
        <v>42197</v>
      </c>
      <c r="G29" s="9">
        <v>3</v>
      </c>
      <c r="H29" t="s">
        <v>179</v>
      </c>
      <c r="I29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9">
        <v>49282</v>
      </c>
      <c r="F30" s="10">
        <v>42204</v>
      </c>
      <c r="G30" s="9">
        <v>2</v>
      </c>
      <c r="H30" t="s">
        <v>181</v>
      </c>
      <c r="I30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9">
        <v>92959</v>
      </c>
      <c r="F31" s="10">
        <v>42211</v>
      </c>
      <c r="G31" s="9">
        <v>5</v>
      </c>
      <c r="I31" t="s">
        <v>209</v>
      </c>
    </row>
    <row r="32" spans="1:9" x14ac:dyDescent="0.3">
      <c r="A32" s="7" t="s">
        <v>39</v>
      </c>
      <c r="B32" s="7"/>
      <c r="C32" s="7" t="s">
        <v>170</v>
      </c>
      <c r="D32" s="7"/>
      <c r="E32" s="9">
        <v>92259</v>
      </c>
      <c r="F32" s="9"/>
      <c r="G32" s="9">
        <v>1</v>
      </c>
      <c r="H32" t="s">
        <v>178</v>
      </c>
      <c r="I32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9">
        <v>92299</v>
      </c>
      <c r="F33" s="10">
        <v>42225</v>
      </c>
      <c r="G33" s="9">
        <v>3</v>
      </c>
      <c r="H33" t="s">
        <v>180</v>
      </c>
      <c r="I33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/>
      <c r="E34" s="9">
        <v>95586</v>
      </c>
      <c r="F34" s="10">
        <v>42232</v>
      </c>
      <c r="G34" s="9">
        <v>3</v>
      </c>
      <c r="H34" t="s">
        <v>179</v>
      </c>
      <c r="I34" t="s">
        <v>212</v>
      </c>
    </row>
    <row r="35" spans="1:9" x14ac:dyDescent="0.3">
      <c r="A35" s="7" t="s">
        <v>42</v>
      </c>
      <c r="B35" s="7" t="s">
        <v>164</v>
      </c>
      <c r="C35" s="7"/>
      <c r="D35" s="7" t="s">
        <v>173</v>
      </c>
      <c r="E35" s="9">
        <v>95367</v>
      </c>
      <c r="F35" s="10">
        <v>42239</v>
      </c>
      <c r="G35" s="9"/>
      <c r="H35" t="s">
        <v>180</v>
      </c>
      <c r="I35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9">
        <v>79549</v>
      </c>
      <c r="F36" s="10">
        <v>42246</v>
      </c>
      <c r="G36" s="9">
        <v>3</v>
      </c>
      <c r="I36" t="s">
        <v>214</v>
      </c>
    </row>
    <row r="37" spans="1:9" x14ac:dyDescent="0.3">
      <c r="A37" s="7" t="s">
        <v>44</v>
      </c>
      <c r="B37" s="7" t="s">
        <v>160</v>
      </c>
      <c r="C37" s="7"/>
      <c r="D37" s="7" t="s">
        <v>175</v>
      </c>
      <c r="E37" s="9">
        <v>54463</v>
      </c>
      <c r="F37" s="10">
        <v>42253</v>
      </c>
      <c r="G37" s="9">
        <v>4</v>
      </c>
      <c r="H37" t="s">
        <v>180</v>
      </c>
      <c r="I37" t="s">
        <v>182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9">
        <v>89781</v>
      </c>
      <c r="F38" s="10">
        <v>42260</v>
      </c>
      <c r="G38" s="9"/>
      <c r="H38" t="s">
        <v>181</v>
      </c>
      <c r="I38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/>
      <c r="E39" s="9">
        <v>64796</v>
      </c>
      <c r="F39" s="10">
        <v>42267</v>
      </c>
      <c r="G39" s="9"/>
      <c r="H39" t="s">
        <v>179</v>
      </c>
      <c r="I39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9">
        <v>52093</v>
      </c>
      <c r="F40" s="10">
        <v>42274</v>
      </c>
      <c r="G40" s="9">
        <v>5</v>
      </c>
      <c r="I40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9">
        <v>48224</v>
      </c>
      <c r="F41" s="10">
        <v>42281</v>
      </c>
      <c r="G41" s="9">
        <v>3</v>
      </c>
      <c r="I41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9" t="s">
        <v>177</v>
      </c>
      <c r="F42" s="9"/>
      <c r="G42" s="9">
        <v>4</v>
      </c>
      <c r="H42" t="s">
        <v>181</v>
      </c>
      <c r="I42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9">
        <v>33956</v>
      </c>
      <c r="F43" s="10">
        <v>42295</v>
      </c>
      <c r="G43" s="9"/>
      <c r="I43" t="s">
        <v>220</v>
      </c>
    </row>
    <row r="44" spans="1:9" x14ac:dyDescent="0.3">
      <c r="A44" s="7" t="s">
        <v>51</v>
      </c>
      <c r="B44" s="7" t="s">
        <v>165</v>
      </c>
      <c r="C44" s="7"/>
      <c r="D44" s="7" t="s">
        <v>176</v>
      </c>
      <c r="E44" s="9">
        <v>64913</v>
      </c>
      <c r="F44" s="10">
        <v>42302</v>
      </c>
      <c r="G44" s="9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9">
        <v>35326</v>
      </c>
      <c r="F45" s="10">
        <v>42309</v>
      </c>
      <c r="G45" s="9"/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/>
      <c r="E46" s="9">
        <v>81610</v>
      </c>
      <c r="F46" s="10">
        <v>42316</v>
      </c>
      <c r="G46" s="9">
        <v>1</v>
      </c>
      <c r="H46" s="7"/>
      <c r="I46" s="7" t="s">
        <v>223</v>
      </c>
    </row>
    <row r="47" spans="1:9" x14ac:dyDescent="0.3">
      <c r="A47" s="7" t="s">
        <v>54</v>
      </c>
      <c r="B47" s="7"/>
      <c r="C47" s="7" t="s">
        <v>167</v>
      </c>
      <c r="D47" s="7"/>
      <c r="E47" s="9">
        <v>58962</v>
      </c>
      <c r="F47" s="10">
        <v>42323</v>
      </c>
      <c r="G47" s="9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9">
        <v>92701</v>
      </c>
      <c r="F48" s="10">
        <v>42330</v>
      </c>
      <c r="G48" s="9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9">
        <v>58245</v>
      </c>
      <c r="F49" s="10">
        <v>42337</v>
      </c>
      <c r="G49" s="9">
        <v>4</v>
      </c>
      <c r="H49" s="7"/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/>
      <c r="E50" s="9">
        <v>66513</v>
      </c>
      <c r="F50" s="10">
        <v>42344</v>
      </c>
      <c r="G50" s="9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9">
        <v>78720</v>
      </c>
      <c r="F51" s="10">
        <v>42351</v>
      </c>
      <c r="G51" s="9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/>
      <c r="D52" s="7" t="s">
        <v>171</v>
      </c>
      <c r="E52" s="9">
        <v>30686</v>
      </c>
      <c r="F52" s="9"/>
      <c r="G52" s="9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9">
        <v>39423</v>
      </c>
      <c r="F53" s="10">
        <v>42365</v>
      </c>
      <c r="G53" s="9">
        <v>5</v>
      </c>
      <c r="H53" s="7"/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/>
      <c r="E54" s="9">
        <v>30280</v>
      </c>
      <c r="F54" s="10">
        <v>42372</v>
      </c>
      <c r="G54" s="9">
        <v>1</v>
      </c>
      <c r="H54" s="7"/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9">
        <v>33352</v>
      </c>
      <c r="F55" s="10">
        <v>42379</v>
      </c>
      <c r="G55" s="9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9">
        <v>75633</v>
      </c>
      <c r="F56" s="10">
        <v>42386</v>
      </c>
      <c r="G56" s="9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/>
      <c r="D57" s="7" t="s">
        <v>173</v>
      </c>
      <c r="E57" s="9">
        <v>74815</v>
      </c>
      <c r="F57" s="10">
        <v>42393</v>
      </c>
      <c r="G57" s="9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9">
        <v>60011</v>
      </c>
      <c r="F58" s="10">
        <v>42400</v>
      </c>
      <c r="G58" s="9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/>
      <c r="D59" s="7" t="s">
        <v>174</v>
      </c>
      <c r="E59" s="9">
        <v>96949</v>
      </c>
      <c r="F59" s="10">
        <v>42407</v>
      </c>
      <c r="G59" s="9">
        <v>3</v>
      </c>
      <c r="H59" s="7"/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/>
      <c r="E60" s="9">
        <v>84924</v>
      </c>
      <c r="F60" s="10">
        <v>42414</v>
      </c>
      <c r="G60" s="9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9">
        <v>82033</v>
      </c>
      <c r="F61" s="10">
        <v>42421</v>
      </c>
      <c r="G61" s="9">
        <v>1</v>
      </c>
      <c r="H61" s="7"/>
      <c r="I61" s="7" t="s">
        <v>223</v>
      </c>
    </row>
    <row r="62" spans="1:9" x14ac:dyDescent="0.3">
      <c r="A62" s="7" t="s">
        <v>69</v>
      </c>
      <c r="B62" s="7"/>
      <c r="C62" s="7" t="s">
        <v>170</v>
      </c>
      <c r="D62" s="7" t="s">
        <v>172</v>
      </c>
      <c r="E62" s="9" t="s">
        <v>177</v>
      </c>
      <c r="F62" s="9"/>
      <c r="G62" s="9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/>
      <c r="D63" s="7" t="s">
        <v>176</v>
      </c>
      <c r="E63" s="9">
        <v>31499</v>
      </c>
      <c r="F63" s="10">
        <v>42435</v>
      </c>
      <c r="G63" s="9">
        <v>2</v>
      </c>
      <c r="H63" s="7"/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9">
        <v>97981</v>
      </c>
      <c r="F64" s="10">
        <v>42442</v>
      </c>
      <c r="G64" s="9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9">
        <v>36541</v>
      </c>
      <c r="F65" s="10">
        <v>42449</v>
      </c>
      <c r="G65" s="9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9">
        <v>84737</v>
      </c>
      <c r="F66" s="10">
        <v>42456</v>
      </c>
      <c r="G66" s="9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9">
        <v>33468</v>
      </c>
      <c r="F67" s="10">
        <v>42463</v>
      </c>
      <c r="G67" s="9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/>
      <c r="D68" s="7" t="s">
        <v>176</v>
      </c>
      <c r="E68" s="9">
        <v>96365</v>
      </c>
      <c r="F68" s="10">
        <v>42470</v>
      </c>
      <c r="G68" s="9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9">
        <v>61942</v>
      </c>
      <c r="F69" s="10">
        <v>42477</v>
      </c>
      <c r="G69" s="9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9">
        <v>41467</v>
      </c>
      <c r="F70" s="10">
        <v>42484</v>
      </c>
      <c r="G70" s="9">
        <v>2</v>
      </c>
      <c r="H70" s="7"/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9">
        <v>77096</v>
      </c>
      <c r="F71" s="10">
        <v>42491</v>
      </c>
      <c r="G71" s="9">
        <v>1</v>
      </c>
      <c r="H71" s="7"/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9">
        <v>69952</v>
      </c>
      <c r="F72" s="10">
        <v>42498</v>
      </c>
      <c r="G72" s="9">
        <v>5</v>
      </c>
      <c r="H72" s="7" t="s">
        <v>181</v>
      </c>
      <c r="I72" s="7" t="s">
        <v>182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9">
        <v>85065</v>
      </c>
      <c r="F73" s="10">
        <v>42505</v>
      </c>
      <c r="G73" s="9">
        <v>3</v>
      </c>
      <c r="H73" s="7"/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9">
        <v>56512</v>
      </c>
      <c r="F74" s="10">
        <v>42512</v>
      </c>
      <c r="G74" s="9"/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9">
        <v>91101</v>
      </c>
      <c r="F75" s="10">
        <v>42519</v>
      </c>
      <c r="G75" s="9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/>
      <c r="D76" s="7" t="s">
        <v>172</v>
      </c>
      <c r="E76" s="9">
        <v>41243</v>
      </c>
      <c r="F76" s="10">
        <v>42526</v>
      </c>
      <c r="G76" s="9"/>
      <c r="H76" s="7"/>
      <c r="I76" s="7" t="s">
        <v>211</v>
      </c>
    </row>
    <row r="77" spans="1:9" x14ac:dyDescent="0.3">
      <c r="A77" s="7" t="s">
        <v>84</v>
      </c>
      <c r="B77" s="7"/>
      <c r="C77" s="7" t="s">
        <v>168</v>
      </c>
      <c r="D77" s="7" t="s">
        <v>171</v>
      </c>
      <c r="E77" s="9">
        <v>96142</v>
      </c>
      <c r="F77" s="10">
        <v>42533</v>
      </c>
      <c r="G77" s="9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9">
        <v>94301</v>
      </c>
      <c r="F78" s="10">
        <v>42540</v>
      </c>
      <c r="G78" s="9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/>
      <c r="D79" s="7" t="s">
        <v>175</v>
      </c>
      <c r="E79" s="9">
        <v>69166</v>
      </c>
      <c r="F79" s="10">
        <v>42547</v>
      </c>
      <c r="G79" s="9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/>
      <c r="D80" s="7" t="s">
        <v>175</v>
      </c>
      <c r="E80" s="9">
        <v>78245</v>
      </c>
      <c r="F80" s="10">
        <v>42554</v>
      </c>
      <c r="G80" s="9">
        <v>2</v>
      </c>
      <c r="H80" s="7"/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9">
        <v>66079</v>
      </c>
      <c r="F81" s="10">
        <v>42561</v>
      </c>
      <c r="G81" s="9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9" t="s">
        <v>177</v>
      </c>
      <c r="F82" s="9"/>
      <c r="G82" s="9"/>
      <c r="H82" s="7"/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9">
        <v>95621</v>
      </c>
      <c r="F83" s="10">
        <v>42575</v>
      </c>
      <c r="G83" s="9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9">
        <v>42262</v>
      </c>
      <c r="F84" s="10">
        <v>42582</v>
      </c>
      <c r="G84" s="9">
        <v>1</v>
      </c>
      <c r="H84" s="7"/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9">
        <v>99621</v>
      </c>
      <c r="F85" s="10">
        <v>42589</v>
      </c>
      <c r="G85" s="9"/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9">
        <v>44682</v>
      </c>
      <c r="F86" s="10">
        <v>42596</v>
      </c>
      <c r="G86" s="9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/>
      <c r="E87" s="9">
        <v>35163</v>
      </c>
      <c r="F87" s="10">
        <v>42603</v>
      </c>
      <c r="G87" s="9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9">
        <v>33483</v>
      </c>
      <c r="F88" s="10">
        <v>42610</v>
      </c>
      <c r="G88" s="9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9">
        <v>55303</v>
      </c>
      <c r="F89" s="10">
        <v>42617</v>
      </c>
      <c r="G89" s="9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/>
      <c r="E90" s="9">
        <v>63434</v>
      </c>
      <c r="F90" s="10">
        <v>42624</v>
      </c>
      <c r="G90" s="9">
        <v>3</v>
      </c>
      <c r="H90" s="7"/>
      <c r="I90" s="7" t="s">
        <v>251</v>
      </c>
    </row>
    <row r="91" spans="1:9" x14ac:dyDescent="0.3">
      <c r="A91" s="7" t="s">
        <v>98</v>
      </c>
      <c r="B91" s="7" t="s">
        <v>162</v>
      </c>
      <c r="C91" s="7"/>
      <c r="D91" s="7" t="s">
        <v>176</v>
      </c>
      <c r="E91" s="9">
        <v>38830</v>
      </c>
      <c r="F91" s="10">
        <v>42631</v>
      </c>
      <c r="G91" s="9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/>
      <c r="C92" s="7" t="s">
        <v>170</v>
      </c>
      <c r="D92" s="7" t="s">
        <v>175</v>
      </c>
      <c r="E92" s="9">
        <v>50741</v>
      </c>
      <c r="F92" s="10">
        <v>42638</v>
      </c>
      <c r="G92" s="9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9">
        <v>69420</v>
      </c>
      <c r="F93" s="10">
        <v>42645</v>
      </c>
      <c r="G93" s="9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/>
      <c r="E94" s="9">
        <v>80588</v>
      </c>
      <c r="F94" s="10">
        <v>42652</v>
      </c>
      <c r="G94" s="9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/>
      <c r="D95" s="7" t="s">
        <v>173</v>
      </c>
      <c r="E95" s="9">
        <v>76238</v>
      </c>
      <c r="F95" s="10">
        <v>42659</v>
      </c>
      <c r="G95" s="9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9">
        <v>33264</v>
      </c>
      <c r="F96" s="10">
        <v>42666</v>
      </c>
      <c r="G96" s="9"/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9">
        <v>96101</v>
      </c>
      <c r="F97" s="10">
        <v>42673</v>
      </c>
      <c r="G97" s="9"/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9">
        <v>72939</v>
      </c>
      <c r="F98" s="10">
        <v>42680</v>
      </c>
      <c r="G98" s="9">
        <v>3</v>
      </c>
      <c r="H98" s="7"/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9">
        <v>89333</v>
      </c>
      <c r="F99" s="10">
        <v>42687</v>
      </c>
      <c r="G99" s="9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9">
        <v>70470</v>
      </c>
      <c r="F100" s="10">
        <v>42694</v>
      </c>
      <c r="G100" s="9"/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9">
        <v>70096</v>
      </c>
      <c r="F101" s="10">
        <v>42701</v>
      </c>
      <c r="G101" s="9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9" t="s">
        <v>177</v>
      </c>
      <c r="F102" s="10">
        <v>42708</v>
      </c>
      <c r="G102" s="9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9">
        <v>66503</v>
      </c>
      <c r="F103" s="10">
        <v>42715</v>
      </c>
      <c r="G103" s="9"/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9">
        <v>42096</v>
      </c>
      <c r="F104" s="10">
        <v>42722</v>
      </c>
      <c r="G104" s="9"/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/>
      <c r="E105" s="9">
        <v>79145</v>
      </c>
      <c r="F105" s="10">
        <v>42729</v>
      </c>
      <c r="G105" s="9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/>
      <c r="D106" s="7" t="s">
        <v>176</v>
      </c>
      <c r="E106" s="9">
        <v>61556</v>
      </c>
      <c r="F106" s="10">
        <v>42736</v>
      </c>
      <c r="G106" s="9">
        <v>1</v>
      </c>
      <c r="H106" s="7"/>
      <c r="I106" s="7" t="s">
        <v>259</v>
      </c>
    </row>
    <row r="107" spans="1:9" x14ac:dyDescent="0.3">
      <c r="A107" s="7" t="s">
        <v>114</v>
      </c>
      <c r="B107" s="7"/>
      <c r="C107" s="7" t="s">
        <v>167</v>
      </c>
      <c r="D107" s="7" t="s">
        <v>175</v>
      </c>
      <c r="E107" s="9">
        <v>87963</v>
      </c>
      <c r="F107" s="10">
        <v>42743</v>
      </c>
      <c r="G107" s="9">
        <v>3</v>
      </c>
      <c r="H107" s="7" t="s">
        <v>179</v>
      </c>
      <c r="I107" s="7" t="s">
        <v>182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/>
      <c r="E108" s="9">
        <v>48325</v>
      </c>
      <c r="F108" s="10">
        <v>42750</v>
      </c>
      <c r="G108" s="9"/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9">
        <v>86412</v>
      </c>
      <c r="F109" s="10">
        <v>42757</v>
      </c>
      <c r="G109" s="9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/>
      <c r="E110" s="9">
        <v>66761</v>
      </c>
      <c r="F110" s="10">
        <v>42764</v>
      </c>
      <c r="G110" s="9">
        <v>1</v>
      </c>
      <c r="H110" s="7"/>
      <c r="I110" s="7" t="s">
        <v>262</v>
      </c>
    </row>
    <row r="111" spans="1:9" x14ac:dyDescent="0.3">
      <c r="A111" s="7" t="s">
        <v>118</v>
      </c>
      <c r="B111" s="7" t="s">
        <v>162</v>
      </c>
      <c r="C111" s="7"/>
      <c r="D111" s="7" t="s">
        <v>174</v>
      </c>
      <c r="E111" s="9">
        <v>88850</v>
      </c>
      <c r="F111" s="10">
        <v>42771</v>
      </c>
      <c r="G111" s="9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9">
        <v>31293</v>
      </c>
      <c r="F112" s="9"/>
      <c r="G112" s="9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9">
        <v>34306</v>
      </c>
      <c r="F113" s="10">
        <v>42785</v>
      </c>
      <c r="G113" s="9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9">
        <v>78330</v>
      </c>
      <c r="F114" s="10">
        <v>42792</v>
      </c>
      <c r="G114" s="9"/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9">
        <v>47653</v>
      </c>
      <c r="F115" s="10">
        <v>42799</v>
      </c>
      <c r="G115" s="9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9">
        <v>44627</v>
      </c>
      <c r="F116" s="10">
        <v>42806</v>
      </c>
      <c r="G116" s="9">
        <v>4</v>
      </c>
      <c r="H116" s="7"/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9">
        <v>92343</v>
      </c>
      <c r="F117" s="10">
        <v>42813</v>
      </c>
      <c r="G117" s="9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9">
        <v>38837</v>
      </c>
      <c r="F118" s="10">
        <v>42820</v>
      </c>
      <c r="G118" s="9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/>
      <c r="E119" s="9">
        <v>73483</v>
      </c>
      <c r="F119" s="10">
        <v>42827</v>
      </c>
      <c r="G119" s="9">
        <v>1</v>
      </c>
      <c r="H119" s="7"/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9">
        <v>95032</v>
      </c>
      <c r="F120" s="10">
        <v>42834</v>
      </c>
      <c r="G120" s="9">
        <v>3</v>
      </c>
      <c r="H120" s="7"/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9">
        <v>44358</v>
      </c>
      <c r="F121" s="10">
        <v>42841</v>
      </c>
      <c r="G121" s="9"/>
      <c r="H121" s="7" t="s">
        <v>181</v>
      </c>
      <c r="I121" s="7" t="s">
        <v>200</v>
      </c>
    </row>
    <row r="122" spans="1:9" x14ac:dyDescent="0.3">
      <c r="A122" s="7" t="s">
        <v>129</v>
      </c>
      <c r="B122" s="7"/>
      <c r="C122" s="7" t="s">
        <v>169</v>
      </c>
      <c r="D122" s="7" t="s">
        <v>173</v>
      </c>
      <c r="E122" s="9" t="s">
        <v>177</v>
      </c>
      <c r="F122" s="9"/>
      <c r="G122" s="9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9">
        <v>45676</v>
      </c>
      <c r="F123" s="10">
        <v>42855</v>
      </c>
      <c r="G123" s="9">
        <v>2</v>
      </c>
      <c r="H123" s="7"/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9">
        <v>52036</v>
      </c>
      <c r="F124" s="10">
        <v>42862</v>
      </c>
      <c r="G124" s="9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/>
      <c r="D125" s="7" t="s">
        <v>172</v>
      </c>
      <c r="E125" s="9">
        <v>30357</v>
      </c>
      <c r="F125" s="10">
        <v>42869</v>
      </c>
      <c r="G125" s="9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/>
      <c r="E126" s="9">
        <v>60034</v>
      </c>
      <c r="F126" s="10">
        <v>42876</v>
      </c>
      <c r="G126" s="9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9">
        <v>90019</v>
      </c>
      <c r="F127" s="10">
        <v>42883</v>
      </c>
      <c r="G127" s="9">
        <v>5</v>
      </c>
      <c r="H127" s="7"/>
      <c r="I127" s="7" t="s">
        <v>272</v>
      </c>
    </row>
    <row r="128" spans="1:9" x14ac:dyDescent="0.3">
      <c r="A128" s="7" t="s">
        <v>135</v>
      </c>
      <c r="B128" s="7" t="s">
        <v>165</v>
      </c>
      <c r="C128" s="7"/>
      <c r="D128" s="7" t="s">
        <v>172</v>
      </c>
      <c r="E128" s="9">
        <v>71494</v>
      </c>
      <c r="F128" s="10">
        <v>42890</v>
      </c>
      <c r="G128" s="9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9">
        <v>91953</v>
      </c>
      <c r="F129" s="10">
        <v>42897</v>
      </c>
      <c r="G129" s="9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9">
        <v>30402</v>
      </c>
      <c r="F130" s="10">
        <v>42904</v>
      </c>
      <c r="G130" s="9">
        <v>1</v>
      </c>
      <c r="H130" s="7"/>
      <c r="I130" s="7" t="s">
        <v>274</v>
      </c>
    </row>
    <row r="131" spans="1:9" x14ac:dyDescent="0.3">
      <c r="A131" s="7" t="s">
        <v>138</v>
      </c>
      <c r="B131" s="7" t="s">
        <v>165</v>
      </c>
      <c r="C131" s="7"/>
      <c r="D131" s="7" t="s">
        <v>175</v>
      </c>
      <c r="E131" s="9">
        <v>62994</v>
      </c>
      <c r="F131" s="10">
        <v>42911</v>
      </c>
      <c r="G131" s="9"/>
      <c r="H131" s="7"/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9">
        <v>48289</v>
      </c>
      <c r="F132" s="9"/>
      <c r="G132" s="9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9">
        <v>34402</v>
      </c>
      <c r="F133" s="10">
        <v>42925</v>
      </c>
      <c r="G133" s="9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9">
        <v>38678</v>
      </c>
      <c r="F134" s="10">
        <v>42932</v>
      </c>
      <c r="G134" s="9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9">
        <v>45758</v>
      </c>
      <c r="F135" s="10">
        <v>42939</v>
      </c>
      <c r="G135" s="9">
        <v>3</v>
      </c>
      <c r="H135" s="7"/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9">
        <v>62476</v>
      </c>
      <c r="F136" s="10">
        <v>42946</v>
      </c>
      <c r="G136" s="9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/>
      <c r="C137" s="7" t="s">
        <v>169</v>
      </c>
      <c r="D137" s="7" t="s">
        <v>175</v>
      </c>
      <c r="E137" s="9">
        <v>39280</v>
      </c>
      <c r="F137" s="10">
        <v>42953</v>
      </c>
      <c r="G137" s="9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9">
        <v>60335</v>
      </c>
      <c r="F138" s="10">
        <v>42960</v>
      </c>
      <c r="G138" s="9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9">
        <v>84968</v>
      </c>
      <c r="F139" s="10">
        <v>42967</v>
      </c>
      <c r="G139" s="9"/>
      <c r="H139" s="7"/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9">
        <v>84750</v>
      </c>
      <c r="F140" s="10">
        <v>42974</v>
      </c>
      <c r="G140" s="9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/>
      <c r="E141" s="9">
        <v>73348</v>
      </c>
      <c r="F141" s="10">
        <v>42981</v>
      </c>
      <c r="G141" s="9">
        <v>2</v>
      </c>
      <c r="H141" s="7"/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9" t="s">
        <v>177</v>
      </c>
      <c r="F142" s="10">
        <v>42988</v>
      </c>
      <c r="G142" s="9">
        <v>4</v>
      </c>
      <c r="H142" s="7" t="s">
        <v>179</v>
      </c>
      <c r="I142" s="7" t="s">
        <v>182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9">
        <v>66882</v>
      </c>
      <c r="F143" s="10">
        <v>42995</v>
      </c>
      <c r="G143" s="9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/>
      <c r="E144" s="9">
        <v>86775</v>
      </c>
      <c r="F144" s="10">
        <v>43002</v>
      </c>
      <c r="G144" s="9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9">
        <v>91620</v>
      </c>
      <c r="F145" s="10">
        <v>43009</v>
      </c>
      <c r="G145" s="9"/>
      <c r="H145" s="7"/>
      <c r="I145" s="7" t="s">
        <v>277</v>
      </c>
    </row>
    <row r="146" spans="1:9" x14ac:dyDescent="0.3">
      <c r="A146" s="7" t="s">
        <v>153</v>
      </c>
      <c r="B146" s="7" t="s">
        <v>159</v>
      </c>
      <c r="C146" s="7"/>
      <c r="D146" s="7"/>
      <c r="E146" s="9">
        <v>94148</v>
      </c>
      <c r="F146" s="10">
        <v>43016</v>
      </c>
      <c r="G146" s="9">
        <v>2</v>
      </c>
      <c r="H146" s="7"/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9">
        <v>35627</v>
      </c>
      <c r="F147" s="10">
        <v>43023</v>
      </c>
      <c r="G147" s="9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9">
        <v>57141</v>
      </c>
      <c r="F148" s="10">
        <v>43030</v>
      </c>
      <c r="G148" s="9">
        <v>2</v>
      </c>
      <c r="H148" s="7"/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9">
        <v>65270</v>
      </c>
      <c r="F149" s="10">
        <v>43037</v>
      </c>
      <c r="G149" s="9">
        <v>1</v>
      </c>
      <c r="H149" s="7"/>
      <c r="I149" s="7" t="s">
        <v>279</v>
      </c>
    </row>
    <row r="150" spans="1:9" x14ac:dyDescent="0.3">
      <c r="A150" s="7" t="s">
        <v>157</v>
      </c>
      <c r="B150" s="7" t="s">
        <v>165</v>
      </c>
      <c r="C150" s="7"/>
      <c r="D150" s="7" t="s">
        <v>175</v>
      </c>
      <c r="E150" s="9">
        <v>67335</v>
      </c>
      <c r="F150" s="10">
        <v>43044</v>
      </c>
      <c r="G150" s="9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9">
        <v>98475</v>
      </c>
      <c r="F151" s="10">
        <v>43051</v>
      </c>
      <c r="G151" s="9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E711-E1D5-4285-ADF9-A523CC39EC42}">
  <dimension ref="A1:R160"/>
  <sheetViews>
    <sheetView workbookViewId="0">
      <pane ySplit="1" topLeftCell="A2" activePane="bottomLeft" state="frozen"/>
      <selection activeCell="B1" sqref="B1"/>
      <selection pane="bottomLeft" activeCell="F5" sqref="F5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88671875" bestFit="1" customWidth="1"/>
    <col min="5" max="5" width="11" bestFit="1" customWidth="1"/>
    <col min="6" max="6" width="11" style="28" customWidth="1"/>
    <col min="7" max="7" width="19.5546875" style="26" bestFit="1" customWidth="1"/>
    <col min="8" max="8" width="24" bestFit="1" customWidth="1"/>
    <col min="9" max="9" width="12.33203125" bestFit="1" customWidth="1"/>
    <col min="10" max="10" width="20.44140625" bestFit="1" customWidth="1"/>
    <col min="12" max="13" width="19.88671875" hidden="1" customWidth="1"/>
    <col min="14" max="14" width="15.6640625" hidden="1" customWidth="1"/>
    <col min="15" max="15" width="37.109375" bestFit="1" customWidth="1"/>
    <col min="16" max="16" width="8" bestFit="1" customWidth="1"/>
    <col min="17" max="17" width="12" bestFit="1" customWidth="1"/>
    <col min="18" max="18" width="8.5546875" bestFit="1" customWidth="1"/>
  </cols>
  <sheetData>
    <row r="1" spans="1:18" ht="16.2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315</v>
      </c>
      <c r="G1" s="25" t="s">
        <v>5</v>
      </c>
      <c r="H1" s="8" t="s">
        <v>6</v>
      </c>
      <c r="I1" s="8" t="s">
        <v>7</v>
      </c>
      <c r="J1" s="8" t="s">
        <v>8</v>
      </c>
      <c r="L1" s="46" t="s">
        <v>307</v>
      </c>
      <c r="M1" s="47"/>
      <c r="N1" s="48"/>
      <c r="O1" s="38" t="s">
        <v>321</v>
      </c>
      <c r="P1" s="39" t="s">
        <v>314</v>
      </c>
      <c r="Q1" s="39" t="s">
        <v>319</v>
      </c>
      <c r="R1" s="40" t="s">
        <v>320</v>
      </c>
    </row>
    <row r="2" spans="1:18" ht="15" thickBot="1" x14ac:dyDescent="0.35">
      <c r="A2" s="7" t="s">
        <v>9</v>
      </c>
      <c r="C2" t="s">
        <v>166</v>
      </c>
      <c r="D2" s="7" t="s">
        <v>171</v>
      </c>
      <c r="E2" s="9" t="s">
        <v>177</v>
      </c>
      <c r="F2" s="28" t="str">
        <f t="shared" ref="F2:F33" si="0">IF(ISNUMBER(E2),IF(E2&gt;75000,"High",IF(E2&gt;50000,"Medium","Low")),"N/A")</f>
        <v>N/A</v>
      </c>
      <c r="H2">
        <v>2</v>
      </c>
      <c r="I2" t="s">
        <v>178</v>
      </c>
      <c r="J2" t="s">
        <v>182</v>
      </c>
      <c r="L2" s="20" t="s">
        <v>296</v>
      </c>
      <c r="M2" s="21" t="s">
        <v>308</v>
      </c>
      <c r="N2" s="30" t="s">
        <v>297</v>
      </c>
      <c r="O2" s="41" t="s">
        <v>316</v>
      </c>
      <c r="P2" s="35">
        <f>+SUMIF(F2:F151,"High",E2:E151)</f>
        <v>4898999</v>
      </c>
      <c r="Q2" s="35">
        <f>AVERAGEIF(F2:F151,"High",E2:E151)</f>
        <v>89072.709090909091</v>
      </c>
      <c r="R2" s="17">
        <f>COUNTIF(F2:F151,"High")</f>
        <v>55</v>
      </c>
    </row>
    <row r="3" spans="1:18" x14ac:dyDescent="0.3">
      <c r="A3" s="7" t="s">
        <v>10</v>
      </c>
      <c r="B3" s="7" t="s">
        <v>159</v>
      </c>
      <c r="C3" s="7" t="s">
        <v>167</v>
      </c>
      <c r="D3" s="7" t="s">
        <v>172</v>
      </c>
      <c r="E3" s="9">
        <v>54255</v>
      </c>
      <c r="F3" s="28" t="str">
        <f t="shared" si="0"/>
        <v>Medium</v>
      </c>
      <c r="G3" s="27">
        <v>42015</v>
      </c>
      <c r="H3" s="9">
        <v>1</v>
      </c>
      <c r="I3" t="s">
        <v>179</v>
      </c>
      <c r="J3" t="s">
        <v>183</v>
      </c>
      <c r="L3" s="14" t="s">
        <v>295</v>
      </c>
      <c r="M3" s="22" t="s">
        <v>309</v>
      </c>
      <c r="N3" s="31">
        <v>9411892</v>
      </c>
      <c r="O3" s="42" t="s">
        <v>317</v>
      </c>
      <c r="P3" s="33">
        <f>SUMIF(F2:F151,"Medium",E2:E151)</f>
        <v>2927497</v>
      </c>
      <c r="Q3" s="33">
        <f>AVERAGEIF(F2:F151,"Medium",E2:E151)</f>
        <v>63641.239130434784</v>
      </c>
      <c r="R3" s="18">
        <f>COUNTIF(F2:F151,"Medium")</f>
        <v>46</v>
      </c>
    </row>
    <row r="4" spans="1:18" ht="15" thickBot="1" x14ac:dyDescent="0.35">
      <c r="A4" s="7" t="s">
        <v>11</v>
      </c>
      <c r="B4" s="7" t="s">
        <v>160</v>
      </c>
      <c r="C4" s="7" t="s">
        <v>166</v>
      </c>
      <c r="D4" s="7" t="s">
        <v>172</v>
      </c>
      <c r="E4" s="9">
        <v>63184</v>
      </c>
      <c r="F4" s="28" t="str">
        <f t="shared" si="0"/>
        <v>Medium</v>
      </c>
      <c r="G4" s="27">
        <v>42022</v>
      </c>
      <c r="H4" s="9">
        <v>2</v>
      </c>
      <c r="J4" t="s">
        <v>184</v>
      </c>
      <c r="L4" s="15" t="s">
        <v>298</v>
      </c>
      <c r="M4" s="23" t="s">
        <v>310</v>
      </c>
      <c r="N4" s="32">
        <v>66280.929000000004</v>
      </c>
      <c r="O4" s="43" t="s">
        <v>318</v>
      </c>
      <c r="P4" s="34">
        <f>SUMIF(F2:F151,"Low",E2:E151)</f>
        <v>1585396</v>
      </c>
      <c r="Q4" s="34">
        <f>AVERAGEIF(F2:F151,"Low",E2:E151)</f>
        <v>38668.195121951219</v>
      </c>
      <c r="R4" s="19">
        <f>COUNTIF(F2:F151,"Low")</f>
        <v>41</v>
      </c>
    </row>
    <row r="5" spans="1:18" x14ac:dyDescent="0.3">
      <c r="A5" s="7" t="s">
        <v>12</v>
      </c>
      <c r="B5" s="7" t="s">
        <v>161</v>
      </c>
      <c r="C5" s="7" t="s">
        <v>168</v>
      </c>
      <c r="D5" s="7" t="s">
        <v>173</v>
      </c>
      <c r="E5" s="9">
        <v>94406</v>
      </c>
      <c r="F5" s="28" t="str">
        <f t="shared" si="0"/>
        <v>High</v>
      </c>
      <c r="G5" s="27">
        <v>42029</v>
      </c>
      <c r="H5" s="9">
        <v>1</v>
      </c>
      <c r="I5" t="s">
        <v>180</v>
      </c>
      <c r="J5" t="s">
        <v>185</v>
      </c>
      <c r="L5" s="15" t="s">
        <v>299</v>
      </c>
      <c r="M5" s="23" t="s">
        <v>311</v>
      </c>
      <c r="N5" s="18">
        <v>99621</v>
      </c>
      <c r="O5" s="9"/>
    </row>
    <row r="6" spans="1:18" x14ac:dyDescent="0.3">
      <c r="A6" s="7" t="s">
        <v>13</v>
      </c>
      <c r="B6" s="7" t="s">
        <v>162</v>
      </c>
      <c r="C6" s="7" t="s">
        <v>168</v>
      </c>
      <c r="D6" s="7" t="s">
        <v>172</v>
      </c>
      <c r="E6" s="9">
        <v>64120</v>
      </c>
      <c r="F6" s="28" t="str">
        <f t="shared" si="0"/>
        <v>Medium</v>
      </c>
      <c r="G6" s="27">
        <v>42036</v>
      </c>
      <c r="H6" s="9">
        <v>1</v>
      </c>
      <c r="I6" t="s">
        <v>180</v>
      </c>
      <c r="J6" t="s">
        <v>186</v>
      </c>
      <c r="L6" s="15" t="s">
        <v>300</v>
      </c>
      <c r="M6" s="23" t="s">
        <v>312</v>
      </c>
      <c r="N6" s="18">
        <v>30280</v>
      </c>
      <c r="O6" s="37" t="s">
        <v>314</v>
      </c>
    </row>
    <row r="7" spans="1:18" ht="15" thickBot="1" x14ac:dyDescent="0.35">
      <c r="A7" s="7" t="s">
        <v>14</v>
      </c>
      <c r="B7" s="7" t="s">
        <v>160</v>
      </c>
      <c r="C7" s="7" t="s">
        <v>169</v>
      </c>
      <c r="D7" s="7" t="s">
        <v>174</v>
      </c>
      <c r="E7" s="9">
        <v>78421</v>
      </c>
      <c r="F7" s="28" t="str">
        <f t="shared" si="0"/>
        <v>High</v>
      </c>
      <c r="G7" s="27">
        <v>42043</v>
      </c>
      <c r="H7" s="9">
        <v>2</v>
      </c>
      <c r="I7" t="s">
        <v>181</v>
      </c>
      <c r="J7" t="s">
        <v>187</v>
      </c>
      <c r="L7" s="16" t="s">
        <v>301</v>
      </c>
      <c r="M7" s="24" t="s">
        <v>313</v>
      </c>
      <c r="N7" s="19">
        <v>150</v>
      </c>
      <c r="O7" s="36" t="s">
        <v>322</v>
      </c>
    </row>
    <row r="8" spans="1:18" x14ac:dyDescent="0.3">
      <c r="A8" s="7" t="s">
        <v>15</v>
      </c>
      <c r="B8" s="7" t="s">
        <v>163</v>
      </c>
      <c r="C8" s="7" t="s">
        <v>168</v>
      </c>
      <c r="D8" s="7"/>
      <c r="E8" s="9">
        <v>67721</v>
      </c>
      <c r="F8" s="28" t="str">
        <f t="shared" si="0"/>
        <v>Medium</v>
      </c>
      <c r="G8" s="27">
        <v>42050</v>
      </c>
      <c r="H8" s="9"/>
      <c r="I8" t="s">
        <v>180</v>
      </c>
      <c r="J8" t="s">
        <v>185</v>
      </c>
      <c r="O8" s="7"/>
    </row>
    <row r="9" spans="1:18" x14ac:dyDescent="0.3">
      <c r="A9" s="7" t="s">
        <v>16</v>
      </c>
      <c r="B9" s="7" t="s">
        <v>164</v>
      </c>
      <c r="C9" s="7" t="s">
        <v>170</v>
      </c>
      <c r="D9" s="7"/>
      <c r="E9" s="9">
        <v>35364</v>
      </c>
      <c r="F9" s="28" t="str">
        <f t="shared" si="0"/>
        <v>Low</v>
      </c>
      <c r="G9" s="27">
        <v>42057</v>
      </c>
      <c r="H9" s="9">
        <v>2</v>
      </c>
      <c r="I9" t="s">
        <v>179</v>
      </c>
      <c r="J9" t="s">
        <v>188</v>
      </c>
      <c r="O9" s="37" t="s">
        <v>319</v>
      </c>
    </row>
    <row r="10" spans="1:18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9">
        <v>97881</v>
      </c>
      <c r="F10" s="28" t="str">
        <f t="shared" si="0"/>
        <v>High</v>
      </c>
      <c r="G10" s="27">
        <v>42064</v>
      </c>
      <c r="H10" s="9"/>
      <c r="I10" t="s">
        <v>181</v>
      </c>
      <c r="J10" t="s">
        <v>189</v>
      </c>
      <c r="O10" s="36" t="s">
        <v>323</v>
      </c>
    </row>
    <row r="11" spans="1:18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9">
        <v>91846</v>
      </c>
      <c r="F11" s="28" t="str">
        <f t="shared" si="0"/>
        <v>High</v>
      </c>
      <c r="G11" s="27">
        <v>42071</v>
      </c>
      <c r="H11" s="9"/>
      <c r="I11" t="s">
        <v>180</v>
      </c>
      <c r="J11" t="s">
        <v>190</v>
      </c>
    </row>
    <row r="12" spans="1:18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9">
        <v>64247</v>
      </c>
      <c r="F12" s="28" t="str">
        <f t="shared" si="0"/>
        <v>Medium</v>
      </c>
      <c r="G12" s="27">
        <v>42078</v>
      </c>
      <c r="H12" s="9">
        <v>1</v>
      </c>
      <c r="I12" t="s">
        <v>181</v>
      </c>
      <c r="J12" t="s">
        <v>191</v>
      </c>
      <c r="O12" s="29" t="s">
        <v>320</v>
      </c>
    </row>
    <row r="13" spans="1:18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9">
        <v>91180</v>
      </c>
      <c r="F13" s="28" t="str">
        <f t="shared" si="0"/>
        <v>High</v>
      </c>
      <c r="G13" s="27">
        <v>42085</v>
      </c>
      <c r="H13" s="9">
        <v>5</v>
      </c>
      <c r="I13" t="s">
        <v>180</v>
      </c>
      <c r="J13" t="s">
        <v>192</v>
      </c>
      <c r="O13" t="s">
        <v>324</v>
      </c>
    </row>
    <row r="14" spans="1:18" x14ac:dyDescent="0.3">
      <c r="A14" s="7" t="s">
        <v>21</v>
      </c>
      <c r="B14" s="7" t="s">
        <v>165</v>
      </c>
      <c r="C14" s="7" t="s">
        <v>168</v>
      </c>
      <c r="D14" s="7"/>
      <c r="E14" s="9">
        <v>96418</v>
      </c>
      <c r="F14" s="28" t="str">
        <f t="shared" si="0"/>
        <v>High</v>
      </c>
      <c r="G14" s="27">
        <v>42092</v>
      </c>
      <c r="H14" s="9">
        <v>5</v>
      </c>
      <c r="I14" t="s">
        <v>180</v>
      </c>
      <c r="J14" t="s">
        <v>183</v>
      </c>
    </row>
    <row r="15" spans="1:18" x14ac:dyDescent="0.3">
      <c r="A15" s="7" t="s">
        <v>22</v>
      </c>
      <c r="B15" s="7" t="s">
        <v>163</v>
      </c>
      <c r="C15" s="7"/>
      <c r="D15" s="7" t="s">
        <v>174</v>
      </c>
      <c r="E15" s="9">
        <v>62158</v>
      </c>
      <c r="F15" s="28" t="str">
        <f t="shared" si="0"/>
        <v>Medium</v>
      </c>
      <c r="G15" s="27">
        <v>42099</v>
      </c>
      <c r="H15" s="9">
        <v>4</v>
      </c>
      <c r="J15" t="s">
        <v>193</v>
      </c>
    </row>
    <row r="16" spans="1:18" x14ac:dyDescent="0.3">
      <c r="A16" s="7" t="s">
        <v>23</v>
      </c>
      <c r="B16" s="7" t="s">
        <v>162</v>
      </c>
      <c r="C16" s="7" t="s">
        <v>167</v>
      </c>
      <c r="D16" s="7"/>
      <c r="E16" s="9">
        <v>59894</v>
      </c>
      <c r="F16" s="28" t="str">
        <f t="shared" si="0"/>
        <v>Medium</v>
      </c>
      <c r="G16" s="27">
        <v>42106</v>
      </c>
      <c r="H16" s="9">
        <v>2</v>
      </c>
      <c r="I16" t="s">
        <v>180</v>
      </c>
      <c r="J16" t="s">
        <v>194</v>
      </c>
    </row>
    <row r="17" spans="1:10" x14ac:dyDescent="0.3">
      <c r="A17" s="7" t="s">
        <v>24</v>
      </c>
      <c r="B17" s="7"/>
      <c r="C17" s="7" t="s">
        <v>169</v>
      </c>
      <c r="D17" s="7" t="s">
        <v>174</v>
      </c>
      <c r="E17" s="9">
        <v>92443</v>
      </c>
      <c r="F17" s="28" t="str">
        <f t="shared" si="0"/>
        <v>High</v>
      </c>
      <c r="G17" s="27">
        <v>42113</v>
      </c>
      <c r="H17" s="9">
        <v>3</v>
      </c>
      <c r="I17" t="s">
        <v>179</v>
      </c>
      <c r="J17" t="s">
        <v>195</v>
      </c>
    </row>
    <row r="18" spans="1:10" x14ac:dyDescent="0.3">
      <c r="A18" s="7" t="s">
        <v>25</v>
      </c>
      <c r="B18" s="7" t="s">
        <v>165</v>
      </c>
      <c r="C18" s="7"/>
      <c r="D18" s="7" t="s">
        <v>172</v>
      </c>
      <c r="E18" s="9">
        <v>90271</v>
      </c>
      <c r="F18" s="28" t="str">
        <f t="shared" si="0"/>
        <v>High</v>
      </c>
      <c r="G18" s="27">
        <v>42120</v>
      </c>
      <c r="H18" s="9"/>
      <c r="J18" t="s">
        <v>196</v>
      </c>
    </row>
    <row r="19" spans="1:10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9">
        <v>41341</v>
      </c>
      <c r="F19" s="28" t="str">
        <f t="shared" si="0"/>
        <v>Low</v>
      </c>
      <c r="G19" s="27">
        <v>42127</v>
      </c>
      <c r="H19" s="9">
        <v>1</v>
      </c>
      <c r="I19" t="s">
        <v>179</v>
      </c>
      <c r="J19" t="s">
        <v>197</v>
      </c>
    </row>
    <row r="20" spans="1:10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9">
        <v>73602</v>
      </c>
      <c r="F20" s="28" t="str">
        <f t="shared" si="0"/>
        <v>Medium</v>
      </c>
      <c r="G20" s="27">
        <v>42134</v>
      </c>
      <c r="H20" s="9"/>
      <c r="J20" t="s">
        <v>198</v>
      </c>
    </row>
    <row r="21" spans="1:10" x14ac:dyDescent="0.3">
      <c r="A21" s="7" t="s">
        <v>28</v>
      </c>
      <c r="B21" s="7" t="s">
        <v>159</v>
      </c>
      <c r="C21" s="7"/>
      <c r="D21" s="7" t="s">
        <v>174</v>
      </c>
      <c r="E21" s="9">
        <v>67531</v>
      </c>
      <c r="F21" s="28" t="str">
        <f t="shared" si="0"/>
        <v>Medium</v>
      </c>
      <c r="G21" s="27">
        <v>42141</v>
      </c>
      <c r="H21" s="9">
        <v>5</v>
      </c>
      <c r="I21" t="s">
        <v>181</v>
      </c>
      <c r="J21" t="s">
        <v>199</v>
      </c>
    </row>
    <row r="22" spans="1:10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9" t="s">
        <v>177</v>
      </c>
      <c r="F22" s="28" t="str">
        <f t="shared" si="0"/>
        <v>N/A</v>
      </c>
      <c r="G22" s="27">
        <v>42148</v>
      </c>
      <c r="H22" s="9">
        <v>2</v>
      </c>
      <c r="I22" t="s">
        <v>179</v>
      </c>
      <c r="J22" t="s">
        <v>200</v>
      </c>
    </row>
    <row r="23" spans="1:10" x14ac:dyDescent="0.3">
      <c r="A23" s="7" t="s">
        <v>30</v>
      </c>
      <c r="B23" s="7" t="s">
        <v>162</v>
      </c>
      <c r="C23" s="7" t="s">
        <v>167</v>
      </c>
      <c r="D23" s="7"/>
      <c r="E23" s="9">
        <v>98922</v>
      </c>
      <c r="F23" s="28" t="str">
        <f t="shared" si="0"/>
        <v>High</v>
      </c>
      <c r="G23" s="27">
        <v>42155</v>
      </c>
      <c r="H23" s="9">
        <v>4</v>
      </c>
      <c r="J23" t="s">
        <v>201</v>
      </c>
    </row>
    <row r="24" spans="1:10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9">
        <v>38333</v>
      </c>
      <c r="F24" s="28" t="str">
        <f t="shared" si="0"/>
        <v>Low</v>
      </c>
      <c r="G24" s="27">
        <v>42162</v>
      </c>
      <c r="H24" s="9">
        <v>5</v>
      </c>
      <c r="J24" t="s">
        <v>202</v>
      </c>
    </row>
    <row r="25" spans="1:10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9">
        <v>36515</v>
      </c>
      <c r="F25" s="28" t="str">
        <f t="shared" si="0"/>
        <v>Low</v>
      </c>
      <c r="G25" s="27">
        <v>42169</v>
      </c>
      <c r="H25" s="9">
        <v>3</v>
      </c>
      <c r="I25" t="s">
        <v>180</v>
      </c>
      <c r="J25" t="s">
        <v>203</v>
      </c>
    </row>
    <row r="26" spans="1:10" x14ac:dyDescent="0.3">
      <c r="A26" s="7" t="s">
        <v>33</v>
      </c>
      <c r="B26" s="7" t="s">
        <v>163</v>
      </c>
      <c r="C26" s="7" t="s">
        <v>166</v>
      </c>
      <c r="D26" s="7"/>
      <c r="E26" s="9">
        <v>91005</v>
      </c>
      <c r="F26" s="28" t="str">
        <f t="shared" si="0"/>
        <v>High</v>
      </c>
      <c r="G26" s="27">
        <v>42176</v>
      </c>
      <c r="H26" s="9">
        <v>1</v>
      </c>
      <c r="I26" t="s">
        <v>179</v>
      </c>
      <c r="J26" t="s">
        <v>204</v>
      </c>
    </row>
    <row r="27" spans="1:10" x14ac:dyDescent="0.3">
      <c r="A27" s="7" t="s">
        <v>34</v>
      </c>
      <c r="B27" s="7" t="s">
        <v>164</v>
      </c>
      <c r="C27" s="7"/>
      <c r="D27" s="7" t="s">
        <v>171</v>
      </c>
      <c r="E27" s="9">
        <v>52272</v>
      </c>
      <c r="F27" s="28" t="str">
        <f t="shared" si="0"/>
        <v>Medium</v>
      </c>
      <c r="G27" s="27">
        <v>42183</v>
      </c>
      <c r="H27" s="9">
        <v>3</v>
      </c>
      <c r="J27" t="s">
        <v>205</v>
      </c>
    </row>
    <row r="28" spans="1:10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9">
        <v>76518</v>
      </c>
      <c r="F28" s="28" t="str">
        <f t="shared" si="0"/>
        <v>High</v>
      </c>
      <c r="G28" s="27">
        <v>42190</v>
      </c>
      <c r="H28" s="9">
        <v>2</v>
      </c>
      <c r="I28" t="s">
        <v>181</v>
      </c>
      <c r="J28" t="s">
        <v>206</v>
      </c>
    </row>
    <row r="29" spans="1:10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9">
        <v>41448</v>
      </c>
      <c r="F29" s="28" t="str">
        <f t="shared" si="0"/>
        <v>Low</v>
      </c>
      <c r="G29" s="27">
        <v>42197</v>
      </c>
      <c r="H29" s="9">
        <v>3</v>
      </c>
      <c r="I29" t="s">
        <v>179</v>
      </c>
      <c r="J29" t="s">
        <v>207</v>
      </c>
    </row>
    <row r="30" spans="1:10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9">
        <v>49282</v>
      </c>
      <c r="F30" s="28" t="str">
        <f t="shared" si="0"/>
        <v>Low</v>
      </c>
      <c r="G30" s="27">
        <v>42204</v>
      </c>
      <c r="H30" s="9">
        <v>2</v>
      </c>
      <c r="I30" t="s">
        <v>181</v>
      </c>
      <c r="J30" t="s">
        <v>208</v>
      </c>
    </row>
    <row r="31" spans="1:10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9">
        <v>92959</v>
      </c>
      <c r="F31" s="28" t="str">
        <f t="shared" si="0"/>
        <v>High</v>
      </c>
      <c r="G31" s="27">
        <v>42211</v>
      </c>
      <c r="H31" s="9">
        <v>5</v>
      </c>
      <c r="J31" t="s">
        <v>209</v>
      </c>
    </row>
    <row r="32" spans="1:10" x14ac:dyDescent="0.3">
      <c r="A32" s="7" t="s">
        <v>39</v>
      </c>
      <c r="B32" s="7"/>
      <c r="C32" s="7" t="s">
        <v>170</v>
      </c>
      <c r="D32" s="7"/>
      <c r="E32" s="9">
        <v>92259</v>
      </c>
      <c r="F32" s="28" t="str">
        <f t="shared" si="0"/>
        <v>High</v>
      </c>
      <c r="G32" s="27"/>
      <c r="H32" s="9">
        <v>1</v>
      </c>
      <c r="I32" t="s">
        <v>178</v>
      </c>
      <c r="J32" t="s">
        <v>210</v>
      </c>
    </row>
    <row r="33" spans="1:10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9">
        <v>92299</v>
      </c>
      <c r="F33" s="28" t="str">
        <f t="shared" si="0"/>
        <v>High</v>
      </c>
      <c r="G33" s="27">
        <v>42225</v>
      </c>
      <c r="H33" s="9">
        <v>3</v>
      </c>
      <c r="I33" t="s">
        <v>180</v>
      </c>
      <c r="J33" t="s">
        <v>211</v>
      </c>
    </row>
    <row r="34" spans="1:10" x14ac:dyDescent="0.3">
      <c r="A34" s="7" t="s">
        <v>41</v>
      </c>
      <c r="B34" s="7" t="s">
        <v>163</v>
      </c>
      <c r="C34" s="7" t="s">
        <v>167</v>
      </c>
      <c r="D34" s="7"/>
      <c r="E34" s="9">
        <v>95586</v>
      </c>
      <c r="F34" s="28" t="str">
        <f t="shared" ref="F34:F65" si="1">IF(ISNUMBER(E34),IF(E34&gt;75000,"High",IF(E34&gt;50000,"Medium","Low")),"N/A")</f>
        <v>High</v>
      </c>
      <c r="G34" s="27">
        <v>42232</v>
      </c>
      <c r="H34" s="9">
        <v>3</v>
      </c>
      <c r="I34" t="s">
        <v>179</v>
      </c>
      <c r="J34" t="s">
        <v>212</v>
      </c>
    </row>
    <row r="35" spans="1:10" x14ac:dyDescent="0.3">
      <c r="A35" s="7" t="s">
        <v>42</v>
      </c>
      <c r="B35" s="7" t="s">
        <v>164</v>
      </c>
      <c r="C35" s="7"/>
      <c r="D35" s="7" t="s">
        <v>173</v>
      </c>
      <c r="E35" s="9">
        <v>95367</v>
      </c>
      <c r="F35" s="28" t="str">
        <f t="shared" si="1"/>
        <v>High</v>
      </c>
      <c r="G35" s="27">
        <v>42239</v>
      </c>
      <c r="H35" s="9"/>
      <c r="I35" t="s">
        <v>180</v>
      </c>
      <c r="J35" t="s">
        <v>213</v>
      </c>
    </row>
    <row r="36" spans="1:10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9">
        <v>79549</v>
      </c>
      <c r="F36" s="28" t="str">
        <f t="shared" si="1"/>
        <v>High</v>
      </c>
      <c r="G36" s="27">
        <v>42246</v>
      </c>
      <c r="H36" s="9">
        <v>3</v>
      </c>
      <c r="J36" t="s">
        <v>214</v>
      </c>
    </row>
    <row r="37" spans="1:10" x14ac:dyDescent="0.3">
      <c r="A37" s="7" t="s">
        <v>44</v>
      </c>
      <c r="B37" s="7" t="s">
        <v>160</v>
      </c>
      <c r="C37" s="7"/>
      <c r="D37" s="7" t="s">
        <v>175</v>
      </c>
      <c r="E37" s="9">
        <v>54463</v>
      </c>
      <c r="F37" s="28" t="str">
        <f t="shared" si="1"/>
        <v>Medium</v>
      </c>
      <c r="G37" s="27">
        <v>42253</v>
      </c>
      <c r="H37" s="9">
        <v>4</v>
      </c>
      <c r="I37" t="s">
        <v>180</v>
      </c>
      <c r="J37" t="s">
        <v>182</v>
      </c>
    </row>
    <row r="38" spans="1:10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9">
        <v>89781</v>
      </c>
      <c r="F38" s="28" t="str">
        <f t="shared" si="1"/>
        <v>High</v>
      </c>
      <c r="G38" s="27">
        <v>42260</v>
      </c>
      <c r="H38" s="9"/>
      <c r="I38" t="s">
        <v>181</v>
      </c>
      <c r="J38" t="s">
        <v>215</v>
      </c>
    </row>
    <row r="39" spans="1:10" x14ac:dyDescent="0.3">
      <c r="A39" s="7" t="s">
        <v>46</v>
      </c>
      <c r="B39" s="7" t="s">
        <v>160</v>
      </c>
      <c r="C39" s="7" t="s">
        <v>167</v>
      </c>
      <c r="D39" s="7"/>
      <c r="E39" s="9">
        <v>64796</v>
      </c>
      <c r="F39" s="28" t="str">
        <f t="shared" si="1"/>
        <v>Medium</v>
      </c>
      <c r="G39" s="27">
        <v>42267</v>
      </c>
      <c r="H39" s="9"/>
      <c r="I39" t="s">
        <v>179</v>
      </c>
      <c r="J39" t="s">
        <v>216</v>
      </c>
    </row>
    <row r="40" spans="1:10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9">
        <v>52093</v>
      </c>
      <c r="F40" s="28" t="str">
        <f t="shared" si="1"/>
        <v>Medium</v>
      </c>
      <c r="G40" s="27">
        <v>42274</v>
      </c>
      <c r="H40" s="9">
        <v>5</v>
      </c>
      <c r="J40" t="s">
        <v>217</v>
      </c>
    </row>
    <row r="41" spans="1:10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9">
        <v>48224</v>
      </c>
      <c r="F41" s="28" t="str">
        <f t="shared" si="1"/>
        <v>Low</v>
      </c>
      <c r="G41" s="27">
        <v>42281</v>
      </c>
      <c r="H41" s="9">
        <v>3</v>
      </c>
      <c r="J41" t="s">
        <v>218</v>
      </c>
    </row>
    <row r="42" spans="1:10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9" t="s">
        <v>177</v>
      </c>
      <c r="F42" s="28" t="str">
        <f t="shared" si="1"/>
        <v>N/A</v>
      </c>
      <c r="G42" s="27"/>
      <c r="H42" s="9">
        <v>4</v>
      </c>
      <c r="I42" t="s">
        <v>181</v>
      </c>
      <c r="J42" t="s">
        <v>219</v>
      </c>
    </row>
    <row r="43" spans="1:10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9">
        <v>33956</v>
      </c>
      <c r="F43" s="28" t="str">
        <f t="shared" si="1"/>
        <v>Low</v>
      </c>
      <c r="G43" s="27">
        <v>42295</v>
      </c>
      <c r="H43" s="9"/>
      <c r="J43" t="s">
        <v>220</v>
      </c>
    </row>
    <row r="44" spans="1:10" x14ac:dyDescent="0.3">
      <c r="A44" s="7" t="s">
        <v>51</v>
      </c>
      <c r="B44" s="7" t="s">
        <v>165</v>
      </c>
      <c r="C44" s="7"/>
      <c r="D44" s="7" t="s">
        <v>176</v>
      </c>
      <c r="E44" s="9">
        <v>64913</v>
      </c>
      <c r="F44" s="28" t="str">
        <f t="shared" si="1"/>
        <v>Medium</v>
      </c>
      <c r="G44" s="27">
        <v>42302</v>
      </c>
      <c r="H44" s="9">
        <v>1</v>
      </c>
      <c r="I44" s="7" t="s">
        <v>181</v>
      </c>
      <c r="J44" s="7" t="s">
        <v>221</v>
      </c>
    </row>
    <row r="45" spans="1:10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9">
        <v>35326</v>
      </c>
      <c r="F45" s="28" t="str">
        <f t="shared" si="1"/>
        <v>Low</v>
      </c>
      <c r="G45" s="27">
        <v>42309</v>
      </c>
      <c r="H45" s="9"/>
      <c r="I45" s="7" t="s">
        <v>181</v>
      </c>
      <c r="J45" s="7" t="s">
        <v>222</v>
      </c>
    </row>
    <row r="46" spans="1:10" x14ac:dyDescent="0.3">
      <c r="A46" s="7" t="s">
        <v>53</v>
      </c>
      <c r="B46" s="7" t="s">
        <v>164</v>
      </c>
      <c r="C46" s="7" t="s">
        <v>166</v>
      </c>
      <c r="D46" s="7"/>
      <c r="E46" s="9">
        <v>81610</v>
      </c>
      <c r="F46" s="28" t="str">
        <f t="shared" si="1"/>
        <v>High</v>
      </c>
      <c r="G46" s="27">
        <v>42316</v>
      </c>
      <c r="H46" s="9">
        <v>1</v>
      </c>
      <c r="I46" s="7"/>
      <c r="J46" s="7" t="s">
        <v>223</v>
      </c>
    </row>
    <row r="47" spans="1:10" x14ac:dyDescent="0.3">
      <c r="A47" s="7" t="s">
        <v>54</v>
      </c>
      <c r="B47" s="7"/>
      <c r="C47" s="7" t="s">
        <v>167</v>
      </c>
      <c r="D47" s="7"/>
      <c r="E47" s="9">
        <v>58962</v>
      </c>
      <c r="F47" s="28" t="str">
        <f t="shared" si="1"/>
        <v>Medium</v>
      </c>
      <c r="G47" s="27">
        <v>42323</v>
      </c>
      <c r="H47" s="9">
        <v>3</v>
      </c>
      <c r="I47" s="7" t="s">
        <v>179</v>
      </c>
      <c r="J47" s="7" t="s">
        <v>183</v>
      </c>
    </row>
    <row r="48" spans="1:10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9">
        <v>92701</v>
      </c>
      <c r="F48" s="28" t="str">
        <f t="shared" si="1"/>
        <v>High</v>
      </c>
      <c r="G48" s="27">
        <v>42330</v>
      </c>
      <c r="H48" s="9">
        <v>3</v>
      </c>
      <c r="I48" s="7" t="s">
        <v>179</v>
      </c>
      <c r="J48" s="7" t="s">
        <v>224</v>
      </c>
    </row>
    <row r="49" spans="1:10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9">
        <v>58245</v>
      </c>
      <c r="F49" s="28" t="str">
        <f t="shared" si="1"/>
        <v>Medium</v>
      </c>
      <c r="G49" s="27">
        <v>42337</v>
      </c>
      <c r="H49" s="9">
        <v>4</v>
      </c>
      <c r="I49" s="7"/>
      <c r="J49" s="7" t="s">
        <v>225</v>
      </c>
    </row>
    <row r="50" spans="1:10" x14ac:dyDescent="0.3">
      <c r="A50" s="7" t="s">
        <v>57</v>
      </c>
      <c r="B50" s="7" t="s">
        <v>161</v>
      </c>
      <c r="C50" s="7" t="s">
        <v>166</v>
      </c>
      <c r="D50" s="7"/>
      <c r="E50" s="9">
        <v>66513</v>
      </c>
      <c r="F50" s="28" t="str">
        <f t="shared" si="1"/>
        <v>Medium</v>
      </c>
      <c r="G50" s="27">
        <v>42344</v>
      </c>
      <c r="H50" s="9">
        <v>2</v>
      </c>
      <c r="I50" s="7" t="s">
        <v>179</v>
      </c>
      <c r="J50" s="7" t="s">
        <v>187</v>
      </c>
    </row>
    <row r="51" spans="1:10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9">
        <v>78720</v>
      </c>
      <c r="F51" s="28" t="str">
        <f t="shared" si="1"/>
        <v>High</v>
      </c>
      <c r="G51" s="27">
        <v>42351</v>
      </c>
      <c r="H51" s="9">
        <v>5</v>
      </c>
      <c r="I51" s="7" t="s">
        <v>181</v>
      </c>
      <c r="J51" s="7" t="s">
        <v>219</v>
      </c>
    </row>
    <row r="52" spans="1:10" x14ac:dyDescent="0.3">
      <c r="A52" s="7" t="s">
        <v>59</v>
      </c>
      <c r="B52" s="7" t="s">
        <v>164</v>
      </c>
      <c r="C52" s="7"/>
      <c r="D52" s="7" t="s">
        <v>171</v>
      </c>
      <c r="E52" s="9">
        <v>30686</v>
      </c>
      <c r="F52" s="28" t="str">
        <f t="shared" si="1"/>
        <v>Low</v>
      </c>
      <c r="G52" s="27"/>
      <c r="H52" s="9">
        <v>2</v>
      </c>
      <c r="I52" s="7" t="s">
        <v>181</v>
      </c>
      <c r="J52" s="7" t="s">
        <v>226</v>
      </c>
    </row>
    <row r="53" spans="1:10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9">
        <v>39423</v>
      </c>
      <c r="F53" s="28" t="str">
        <f t="shared" si="1"/>
        <v>Low</v>
      </c>
      <c r="G53" s="27">
        <v>42365</v>
      </c>
      <c r="H53" s="9">
        <v>5</v>
      </c>
      <c r="I53" s="7"/>
      <c r="J53" s="7" t="s">
        <v>227</v>
      </c>
    </row>
    <row r="54" spans="1:10" x14ac:dyDescent="0.3">
      <c r="A54" s="7" t="s">
        <v>61</v>
      </c>
      <c r="B54" s="7" t="s">
        <v>159</v>
      </c>
      <c r="C54" s="7" t="s">
        <v>170</v>
      </c>
      <c r="D54" s="7"/>
      <c r="E54" s="9">
        <v>30280</v>
      </c>
      <c r="F54" s="28" t="str">
        <f t="shared" si="1"/>
        <v>Low</v>
      </c>
      <c r="G54" s="27">
        <v>42372</v>
      </c>
      <c r="H54" s="9">
        <v>1</v>
      </c>
      <c r="I54" s="7"/>
      <c r="J54" s="7" t="s">
        <v>228</v>
      </c>
    </row>
    <row r="55" spans="1:10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9">
        <v>33352</v>
      </c>
      <c r="F55" s="28" t="str">
        <f t="shared" si="1"/>
        <v>Low</v>
      </c>
      <c r="G55" s="27">
        <v>42379</v>
      </c>
      <c r="H55" s="9">
        <v>3</v>
      </c>
      <c r="I55" s="7" t="s">
        <v>181</v>
      </c>
      <c r="J55" s="7" t="s">
        <v>200</v>
      </c>
    </row>
    <row r="56" spans="1:10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9">
        <v>75633</v>
      </c>
      <c r="F56" s="28" t="str">
        <f t="shared" si="1"/>
        <v>High</v>
      </c>
      <c r="G56" s="27">
        <v>42386</v>
      </c>
      <c r="H56" s="9">
        <v>5</v>
      </c>
      <c r="I56" s="7" t="s">
        <v>179</v>
      </c>
      <c r="J56" s="7" t="s">
        <v>229</v>
      </c>
    </row>
    <row r="57" spans="1:10" x14ac:dyDescent="0.3">
      <c r="A57" s="7" t="s">
        <v>64</v>
      </c>
      <c r="B57" s="7" t="s">
        <v>164</v>
      </c>
      <c r="C57" s="7"/>
      <c r="D57" s="7" t="s">
        <v>173</v>
      </c>
      <c r="E57" s="9">
        <v>74815</v>
      </c>
      <c r="F57" s="28" t="str">
        <f t="shared" si="1"/>
        <v>Medium</v>
      </c>
      <c r="G57" s="27">
        <v>42393</v>
      </c>
      <c r="H57" s="9">
        <v>5</v>
      </c>
      <c r="I57" s="7" t="s">
        <v>181</v>
      </c>
      <c r="J57" s="7" t="s">
        <v>230</v>
      </c>
    </row>
    <row r="58" spans="1:10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9">
        <v>60011</v>
      </c>
      <c r="F58" s="28" t="str">
        <f t="shared" si="1"/>
        <v>Medium</v>
      </c>
      <c r="G58" s="27">
        <v>42400</v>
      </c>
      <c r="H58" s="9">
        <v>1</v>
      </c>
      <c r="I58" s="7" t="s">
        <v>180</v>
      </c>
      <c r="J58" s="7" t="s">
        <v>231</v>
      </c>
    </row>
    <row r="59" spans="1:10" x14ac:dyDescent="0.3">
      <c r="A59" s="7" t="s">
        <v>66</v>
      </c>
      <c r="B59" s="7" t="s">
        <v>159</v>
      </c>
      <c r="C59" s="7"/>
      <c r="D59" s="7" t="s">
        <v>174</v>
      </c>
      <c r="E59" s="9">
        <v>96949</v>
      </c>
      <c r="F59" s="28" t="str">
        <f t="shared" si="1"/>
        <v>High</v>
      </c>
      <c r="G59" s="27">
        <v>42407</v>
      </c>
      <c r="H59" s="9">
        <v>3</v>
      </c>
      <c r="I59" s="7"/>
      <c r="J59" s="7" t="s">
        <v>207</v>
      </c>
    </row>
    <row r="60" spans="1:10" x14ac:dyDescent="0.3">
      <c r="A60" s="7" t="s">
        <v>67</v>
      </c>
      <c r="B60" s="7" t="s">
        <v>163</v>
      </c>
      <c r="C60" s="7" t="s">
        <v>170</v>
      </c>
      <c r="D60" s="7"/>
      <c r="E60" s="9">
        <v>84924</v>
      </c>
      <c r="F60" s="28" t="str">
        <f t="shared" si="1"/>
        <v>High</v>
      </c>
      <c r="G60" s="27">
        <v>42414</v>
      </c>
      <c r="H60" s="9">
        <v>5</v>
      </c>
      <c r="I60" s="7" t="s">
        <v>180</v>
      </c>
      <c r="J60" s="7" t="s">
        <v>232</v>
      </c>
    </row>
    <row r="61" spans="1:10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9">
        <v>82033</v>
      </c>
      <c r="F61" s="28" t="str">
        <f t="shared" si="1"/>
        <v>High</v>
      </c>
      <c r="G61" s="27">
        <v>42421</v>
      </c>
      <c r="H61" s="9">
        <v>1</v>
      </c>
      <c r="I61" s="7"/>
      <c r="J61" s="7" t="s">
        <v>223</v>
      </c>
    </row>
    <row r="62" spans="1:10" x14ac:dyDescent="0.3">
      <c r="A62" s="7" t="s">
        <v>69</v>
      </c>
      <c r="B62" s="7"/>
      <c r="C62" s="7" t="s">
        <v>170</v>
      </c>
      <c r="D62" s="7" t="s">
        <v>172</v>
      </c>
      <c r="E62" s="9" t="s">
        <v>177</v>
      </c>
      <c r="F62" s="28" t="str">
        <f t="shared" si="1"/>
        <v>N/A</v>
      </c>
      <c r="G62" s="27"/>
      <c r="H62" s="9">
        <v>5</v>
      </c>
      <c r="I62" s="7" t="s">
        <v>178</v>
      </c>
      <c r="J62" s="7" t="s">
        <v>233</v>
      </c>
    </row>
    <row r="63" spans="1:10" x14ac:dyDescent="0.3">
      <c r="A63" s="7" t="s">
        <v>70</v>
      </c>
      <c r="B63" s="7" t="s">
        <v>159</v>
      </c>
      <c r="C63" s="7"/>
      <c r="D63" s="7" t="s">
        <v>176</v>
      </c>
      <c r="E63" s="9">
        <v>31499</v>
      </c>
      <c r="F63" s="28" t="str">
        <f t="shared" si="1"/>
        <v>Low</v>
      </c>
      <c r="G63" s="27">
        <v>42435</v>
      </c>
      <c r="H63" s="9">
        <v>2</v>
      </c>
      <c r="I63" s="7"/>
      <c r="J63" s="7" t="s">
        <v>215</v>
      </c>
    </row>
    <row r="64" spans="1:10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9">
        <v>97981</v>
      </c>
      <c r="F64" s="28" t="str">
        <f t="shared" si="1"/>
        <v>High</v>
      </c>
      <c r="G64" s="27">
        <v>42442</v>
      </c>
      <c r="H64" s="9">
        <v>5</v>
      </c>
      <c r="I64" s="7" t="s">
        <v>181</v>
      </c>
      <c r="J64" s="7" t="s">
        <v>234</v>
      </c>
    </row>
    <row r="65" spans="1:10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9">
        <v>36541</v>
      </c>
      <c r="F65" s="28" t="str">
        <f t="shared" si="1"/>
        <v>Low</v>
      </c>
      <c r="G65" s="27">
        <v>42449</v>
      </c>
      <c r="H65" s="9">
        <v>2</v>
      </c>
      <c r="I65" s="7" t="s">
        <v>179</v>
      </c>
      <c r="J65" s="7" t="s">
        <v>235</v>
      </c>
    </row>
    <row r="66" spans="1:10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9">
        <v>84737</v>
      </c>
      <c r="F66" s="28" t="str">
        <f t="shared" ref="F66:F97" si="2">IF(ISNUMBER(E66),IF(E66&gt;75000,"High",IF(E66&gt;50000,"Medium","Low")),"N/A")</f>
        <v>High</v>
      </c>
      <c r="G66" s="27">
        <v>42456</v>
      </c>
      <c r="H66" s="9">
        <v>1</v>
      </c>
      <c r="I66" s="7" t="s">
        <v>180</v>
      </c>
      <c r="J66" s="7" t="s">
        <v>236</v>
      </c>
    </row>
    <row r="67" spans="1:10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9">
        <v>33468</v>
      </c>
      <c r="F67" s="28" t="str">
        <f t="shared" si="2"/>
        <v>Low</v>
      </c>
      <c r="G67" s="27">
        <v>42463</v>
      </c>
      <c r="H67" s="9">
        <v>4</v>
      </c>
      <c r="I67" s="7" t="s">
        <v>180</v>
      </c>
      <c r="J67" s="7" t="s">
        <v>237</v>
      </c>
    </row>
    <row r="68" spans="1:10" x14ac:dyDescent="0.3">
      <c r="A68" s="7" t="s">
        <v>75</v>
      </c>
      <c r="B68" s="7" t="s">
        <v>163</v>
      </c>
      <c r="C68" s="7"/>
      <c r="D68" s="7" t="s">
        <v>176</v>
      </c>
      <c r="E68" s="9">
        <v>96365</v>
      </c>
      <c r="F68" s="28" t="str">
        <f t="shared" si="2"/>
        <v>High</v>
      </c>
      <c r="G68" s="27">
        <v>42470</v>
      </c>
      <c r="H68" s="9">
        <v>3</v>
      </c>
      <c r="I68" s="7" t="s">
        <v>179</v>
      </c>
      <c r="J68" s="7" t="s">
        <v>238</v>
      </c>
    </row>
    <row r="69" spans="1:10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9">
        <v>61942</v>
      </c>
      <c r="F69" s="28" t="str">
        <f t="shared" si="2"/>
        <v>Medium</v>
      </c>
      <c r="G69" s="27">
        <v>42477</v>
      </c>
      <c r="H69" s="9">
        <v>3</v>
      </c>
      <c r="I69" s="7" t="s">
        <v>181</v>
      </c>
      <c r="J69" s="7" t="s">
        <v>239</v>
      </c>
    </row>
    <row r="70" spans="1:10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9">
        <v>41467</v>
      </c>
      <c r="F70" s="28" t="str">
        <f t="shared" si="2"/>
        <v>Low</v>
      </c>
      <c r="G70" s="27">
        <v>42484</v>
      </c>
      <c r="H70" s="9">
        <v>2</v>
      </c>
      <c r="I70" s="7"/>
      <c r="J70" s="7" t="s">
        <v>201</v>
      </c>
    </row>
    <row r="71" spans="1:10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9">
        <v>77096</v>
      </c>
      <c r="F71" s="28" t="str">
        <f t="shared" si="2"/>
        <v>High</v>
      </c>
      <c r="G71" s="27">
        <v>42491</v>
      </c>
      <c r="H71" s="9">
        <v>1</v>
      </c>
      <c r="I71" s="7"/>
      <c r="J71" s="7" t="s">
        <v>240</v>
      </c>
    </row>
    <row r="72" spans="1:10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9">
        <v>69952</v>
      </c>
      <c r="F72" s="28" t="str">
        <f t="shared" si="2"/>
        <v>Medium</v>
      </c>
      <c r="G72" s="27">
        <v>42498</v>
      </c>
      <c r="H72" s="9">
        <v>5</v>
      </c>
      <c r="I72" s="7" t="s">
        <v>181</v>
      </c>
      <c r="J72" s="7" t="s">
        <v>182</v>
      </c>
    </row>
    <row r="73" spans="1:10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9">
        <v>85065</v>
      </c>
      <c r="F73" s="28" t="str">
        <f t="shared" si="2"/>
        <v>High</v>
      </c>
      <c r="G73" s="27">
        <v>42505</v>
      </c>
      <c r="H73" s="9">
        <v>3</v>
      </c>
      <c r="I73" s="7"/>
      <c r="J73" s="7" t="s">
        <v>241</v>
      </c>
    </row>
    <row r="74" spans="1:10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9">
        <v>56512</v>
      </c>
      <c r="F74" s="28" t="str">
        <f t="shared" si="2"/>
        <v>Medium</v>
      </c>
      <c r="G74" s="27">
        <v>42512</v>
      </c>
      <c r="H74" s="9"/>
      <c r="I74" s="7" t="s">
        <v>179</v>
      </c>
      <c r="J74" s="7" t="s">
        <v>190</v>
      </c>
    </row>
    <row r="75" spans="1:10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9">
        <v>91101</v>
      </c>
      <c r="F75" s="28" t="str">
        <f t="shared" si="2"/>
        <v>High</v>
      </c>
      <c r="G75" s="27">
        <v>42519</v>
      </c>
      <c r="H75" s="9">
        <v>4</v>
      </c>
      <c r="I75" s="7" t="s">
        <v>181</v>
      </c>
      <c r="J75" s="7" t="s">
        <v>234</v>
      </c>
    </row>
    <row r="76" spans="1:10" x14ac:dyDescent="0.3">
      <c r="A76" s="7" t="s">
        <v>83</v>
      </c>
      <c r="B76" s="7" t="s">
        <v>163</v>
      </c>
      <c r="C76" s="7"/>
      <c r="D76" s="7" t="s">
        <v>172</v>
      </c>
      <c r="E76" s="9">
        <v>41243</v>
      </c>
      <c r="F76" s="28" t="str">
        <f t="shared" si="2"/>
        <v>Low</v>
      </c>
      <c r="G76" s="27">
        <v>42526</v>
      </c>
      <c r="H76" s="9"/>
      <c r="I76" s="7"/>
      <c r="J76" s="7" t="s">
        <v>211</v>
      </c>
    </row>
    <row r="77" spans="1:10" x14ac:dyDescent="0.3">
      <c r="A77" s="7" t="s">
        <v>84</v>
      </c>
      <c r="B77" s="7"/>
      <c r="C77" s="7" t="s">
        <v>168</v>
      </c>
      <c r="D77" s="7" t="s">
        <v>171</v>
      </c>
      <c r="E77" s="9">
        <v>96142</v>
      </c>
      <c r="F77" s="28" t="str">
        <f t="shared" si="2"/>
        <v>High</v>
      </c>
      <c r="G77" s="27">
        <v>42533</v>
      </c>
      <c r="H77" s="9">
        <v>1</v>
      </c>
      <c r="I77" s="7" t="s">
        <v>179</v>
      </c>
      <c r="J77" s="7" t="s">
        <v>242</v>
      </c>
    </row>
    <row r="78" spans="1:10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9">
        <v>94301</v>
      </c>
      <c r="F78" s="28" t="str">
        <f t="shared" si="2"/>
        <v>High</v>
      </c>
      <c r="G78" s="27">
        <v>42540</v>
      </c>
      <c r="H78" s="9">
        <v>1</v>
      </c>
      <c r="I78" s="7" t="s">
        <v>180</v>
      </c>
      <c r="J78" s="7" t="s">
        <v>223</v>
      </c>
    </row>
    <row r="79" spans="1:10" x14ac:dyDescent="0.3">
      <c r="A79" s="7" t="s">
        <v>86</v>
      </c>
      <c r="B79" s="7" t="s">
        <v>162</v>
      </c>
      <c r="C79" s="7"/>
      <c r="D79" s="7" t="s">
        <v>175</v>
      </c>
      <c r="E79" s="9">
        <v>69166</v>
      </c>
      <c r="F79" s="28" t="str">
        <f t="shared" si="2"/>
        <v>Medium</v>
      </c>
      <c r="G79" s="27">
        <v>42547</v>
      </c>
      <c r="H79" s="9">
        <v>1</v>
      </c>
      <c r="I79" s="7" t="s">
        <v>181</v>
      </c>
      <c r="J79" s="7" t="s">
        <v>243</v>
      </c>
    </row>
    <row r="80" spans="1:10" x14ac:dyDescent="0.3">
      <c r="A80" s="7" t="s">
        <v>87</v>
      </c>
      <c r="B80" s="7" t="s">
        <v>163</v>
      </c>
      <c r="C80" s="7"/>
      <c r="D80" s="7" t="s">
        <v>175</v>
      </c>
      <c r="E80" s="9">
        <v>78245</v>
      </c>
      <c r="F80" s="28" t="str">
        <f t="shared" si="2"/>
        <v>High</v>
      </c>
      <c r="G80" s="27">
        <v>42554</v>
      </c>
      <c r="H80" s="9">
        <v>2</v>
      </c>
      <c r="I80" s="7"/>
      <c r="J80" s="7" t="s">
        <v>244</v>
      </c>
    </row>
    <row r="81" spans="1:10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9">
        <v>66079</v>
      </c>
      <c r="F81" s="28" t="str">
        <f t="shared" si="2"/>
        <v>Medium</v>
      </c>
      <c r="G81" s="27">
        <v>42561</v>
      </c>
      <c r="H81" s="9">
        <v>2</v>
      </c>
      <c r="I81" s="7" t="s">
        <v>179</v>
      </c>
      <c r="J81" s="7" t="s">
        <v>245</v>
      </c>
    </row>
    <row r="82" spans="1:10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9" t="s">
        <v>177</v>
      </c>
      <c r="F82" s="28" t="str">
        <f t="shared" si="2"/>
        <v>N/A</v>
      </c>
      <c r="G82" s="27"/>
      <c r="H82" s="9"/>
      <c r="I82" s="7"/>
      <c r="J82" s="7" t="s">
        <v>208</v>
      </c>
    </row>
    <row r="83" spans="1:10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9">
        <v>95621</v>
      </c>
      <c r="F83" s="28" t="str">
        <f t="shared" si="2"/>
        <v>High</v>
      </c>
      <c r="G83" s="27">
        <v>42575</v>
      </c>
      <c r="H83" s="9">
        <v>3</v>
      </c>
      <c r="I83" s="7" t="s">
        <v>181</v>
      </c>
      <c r="J83" s="7" t="s">
        <v>246</v>
      </c>
    </row>
    <row r="84" spans="1:10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9">
        <v>42262</v>
      </c>
      <c r="F84" s="28" t="str">
        <f t="shared" si="2"/>
        <v>Low</v>
      </c>
      <c r="G84" s="27">
        <v>42582</v>
      </c>
      <c r="H84" s="9">
        <v>1</v>
      </c>
      <c r="I84" s="7"/>
      <c r="J84" s="7" t="s">
        <v>247</v>
      </c>
    </row>
    <row r="85" spans="1:10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9">
        <v>99621</v>
      </c>
      <c r="F85" s="28" t="str">
        <f t="shared" si="2"/>
        <v>High</v>
      </c>
      <c r="G85" s="27">
        <v>42589</v>
      </c>
      <c r="H85" s="9"/>
      <c r="I85" s="7" t="s">
        <v>179</v>
      </c>
      <c r="J85" s="7" t="s">
        <v>248</v>
      </c>
    </row>
    <row r="86" spans="1:10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9">
        <v>44682</v>
      </c>
      <c r="F86" s="28" t="str">
        <f t="shared" si="2"/>
        <v>Low</v>
      </c>
      <c r="G86" s="27">
        <v>42596</v>
      </c>
      <c r="H86" s="9">
        <v>4</v>
      </c>
      <c r="I86" s="7" t="s">
        <v>181</v>
      </c>
      <c r="J86" s="7" t="s">
        <v>220</v>
      </c>
    </row>
    <row r="87" spans="1:10" x14ac:dyDescent="0.3">
      <c r="A87" s="7" t="s">
        <v>94</v>
      </c>
      <c r="B87" s="7" t="s">
        <v>164</v>
      </c>
      <c r="C87" s="7" t="s">
        <v>166</v>
      </c>
      <c r="D87" s="7"/>
      <c r="E87" s="9">
        <v>35163</v>
      </c>
      <c r="F87" s="28" t="str">
        <f t="shared" si="2"/>
        <v>Low</v>
      </c>
      <c r="G87" s="27">
        <v>42603</v>
      </c>
      <c r="H87" s="9">
        <v>5</v>
      </c>
      <c r="I87" s="7" t="s">
        <v>179</v>
      </c>
      <c r="J87" s="7" t="s">
        <v>249</v>
      </c>
    </row>
    <row r="88" spans="1:10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9">
        <v>33483</v>
      </c>
      <c r="F88" s="28" t="str">
        <f t="shared" si="2"/>
        <v>Low</v>
      </c>
      <c r="G88" s="27">
        <v>42610</v>
      </c>
      <c r="H88" s="9">
        <v>4</v>
      </c>
      <c r="I88" s="7" t="s">
        <v>180</v>
      </c>
      <c r="J88" s="7" t="s">
        <v>250</v>
      </c>
    </row>
    <row r="89" spans="1:10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9">
        <v>55303</v>
      </c>
      <c r="F89" s="28" t="str">
        <f t="shared" si="2"/>
        <v>Medium</v>
      </c>
      <c r="G89" s="27">
        <v>42617</v>
      </c>
      <c r="H89" s="9">
        <v>4</v>
      </c>
      <c r="I89" s="7" t="s">
        <v>180</v>
      </c>
      <c r="J89" s="7" t="s">
        <v>203</v>
      </c>
    </row>
    <row r="90" spans="1:10" x14ac:dyDescent="0.3">
      <c r="A90" s="7" t="s">
        <v>97</v>
      </c>
      <c r="B90" s="7" t="s">
        <v>164</v>
      </c>
      <c r="C90" s="7" t="s">
        <v>169</v>
      </c>
      <c r="D90" s="7"/>
      <c r="E90" s="9">
        <v>63434</v>
      </c>
      <c r="F90" s="28" t="str">
        <f t="shared" si="2"/>
        <v>Medium</v>
      </c>
      <c r="G90" s="27">
        <v>42624</v>
      </c>
      <c r="H90" s="9">
        <v>3</v>
      </c>
      <c r="I90" s="7"/>
      <c r="J90" s="7" t="s">
        <v>251</v>
      </c>
    </row>
    <row r="91" spans="1:10" x14ac:dyDescent="0.3">
      <c r="A91" s="7" t="s">
        <v>98</v>
      </c>
      <c r="B91" s="7" t="s">
        <v>162</v>
      </c>
      <c r="C91" s="7"/>
      <c r="D91" s="7" t="s">
        <v>176</v>
      </c>
      <c r="E91" s="9">
        <v>38830</v>
      </c>
      <c r="F91" s="28" t="str">
        <f t="shared" si="2"/>
        <v>Low</v>
      </c>
      <c r="G91" s="27">
        <v>42631</v>
      </c>
      <c r="H91" s="9">
        <v>3</v>
      </c>
      <c r="I91" s="7" t="s">
        <v>179</v>
      </c>
      <c r="J91" s="7" t="s">
        <v>203</v>
      </c>
    </row>
    <row r="92" spans="1:10" x14ac:dyDescent="0.3">
      <c r="A92" s="7" t="s">
        <v>99</v>
      </c>
      <c r="B92" s="7"/>
      <c r="C92" s="7" t="s">
        <v>170</v>
      </c>
      <c r="D92" s="7" t="s">
        <v>175</v>
      </c>
      <c r="E92" s="9">
        <v>50741</v>
      </c>
      <c r="F92" s="28" t="str">
        <f t="shared" si="2"/>
        <v>Medium</v>
      </c>
      <c r="G92" s="27">
        <v>42638</v>
      </c>
      <c r="H92" s="9">
        <v>3</v>
      </c>
      <c r="I92" s="7" t="s">
        <v>178</v>
      </c>
      <c r="J92" s="7" t="s">
        <v>240</v>
      </c>
    </row>
    <row r="93" spans="1:10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9">
        <v>69420</v>
      </c>
      <c r="F93" s="28" t="str">
        <f t="shared" si="2"/>
        <v>Medium</v>
      </c>
      <c r="G93" s="27">
        <v>42645</v>
      </c>
      <c r="H93" s="9">
        <v>1</v>
      </c>
      <c r="I93" s="7" t="s">
        <v>180</v>
      </c>
      <c r="J93" s="7" t="s">
        <v>225</v>
      </c>
    </row>
    <row r="94" spans="1:10" x14ac:dyDescent="0.3">
      <c r="A94" s="7" t="s">
        <v>101</v>
      </c>
      <c r="B94" s="7" t="s">
        <v>162</v>
      </c>
      <c r="C94" s="7" t="s">
        <v>169</v>
      </c>
      <c r="D94" s="7"/>
      <c r="E94" s="9">
        <v>80588</v>
      </c>
      <c r="F94" s="28" t="str">
        <f t="shared" si="2"/>
        <v>High</v>
      </c>
      <c r="G94" s="27">
        <v>42652</v>
      </c>
      <c r="H94" s="9">
        <v>5</v>
      </c>
      <c r="I94" s="7" t="s">
        <v>180</v>
      </c>
      <c r="J94" s="7" t="s">
        <v>216</v>
      </c>
    </row>
    <row r="95" spans="1:10" x14ac:dyDescent="0.3">
      <c r="A95" s="7" t="s">
        <v>102</v>
      </c>
      <c r="B95" s="7" t="s">
        <v>160</v>
      </c>
      <c r="C95" s="7"/>
      <c r="D95" s="7" t="s">
        <v>173</v>
      </c>
      <c r="E95" s="9">
        <v>76238</v>
      </c>
      <c r="F95" s="28" t="str">
        <f t="shared" si="2"/>
        <v>High</v>
      </c>
      <c r="G95" s="27">
        <v>42659</v>
      </c>
      <c r="H95" s="9">
        <v>4</v>
      </c>
      <c r="I95" s="7" t="s">
        <v>180</v>
      </c>
      <c r="J95" s="7" t="s">
        <v>252</v>
      </c>
    </row>
    <row r="96" spans="1:10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9">
        <v>33264</v>
      </c>
      <c r="F96" s="28" t="str">
        <f t="shared" si="2"/>
        <v>Low</v>
      </c>
      <c r="G96" s="27">
        <v>42666</v>
      </c>
      <c r="H96" s="9"/>
      <c r="I96" s="7" t="s">
        <v>181</v>
      </c>
      <c r="J96" s="7" t="s">
        <v>253</v>
      </c>
    </row>
    <row r="97" spans="1:10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9">
        <v>96101</v>
      </c>
      <c r="F97" s="28" t="str">
        <f t="shared" si="2"/>
        <v>High</v>
      </c>
      <c r="G97" s="27">
        <v>42673</v>
      </c>
      <c r="H97" s="9"/>
      <c r="I97" s="7" t="s">
        <v>179</v>
      </c>
      <c r="J97" s="7" t="s">
        <v>254</v>
      </c>
    </row>
    <row r="98" spans="1:10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9">
        <v>72939</v>
      </c>
      <c r="F98" s="28" t="str">
        <f t="shared" ref="F98:F129" si="3">IF(ISNUMBER(E98),IF(E98&gt;75000,"High",IF(E98&gt;50000,"Medium","Low")),"N/A")</f>
        <v>Medium</v>
      </c>
      <c r="G98" s="27">
        <v>42680</v>
      </c>
      <c r="H98" s="9">
        <v>3</v>
      </c>
      <c r="I98" s="7"/>
      <c r="J98" s="7" t="s">
        <v>255</v>
      </c>
    </row>
    <row r="99" spans="1:10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9">
        <v>89333</v>
      </c>
      <c r="F99" s="28" t="str">
        <f t="shared" si="3"/>
        <v>High</v>
      </c>
      <c r="G99" s="27">
        <v>42687</v>
      </c>
      <c r="H99" s="9">
        <v>1</v>
      </c>
      <c r="I99" s="7" t="s">
        <v>180</v>
      </c>
      <c r="J99" s="7" t="s">
        <v>256</v>
      </c>
    </row>
    <row r="100" spans="1:10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9">
        <v>70470</v>
      </c>
      <c r="F100" s="28" t="str">
        <f t="shared" si="3"/>
        <v>Medium</v>
      </c>
      <c r="G100" s="27">
        <v>42694</v>
      </c>
      <c r="H100" s="9"/>
      <c r="I100" s="7" t="s">
        <v>180</v>
      </c>
      <c r="J100" s="7" t="s">
        <v>257</v>
      </c>
    </row>
    <row r="101" spans="1:10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9">
        <v>70096</v>
      </c>
      <c r="F101" s="28" t="str">
        <f t="shared" si="3"/>
        <v>Medium</v>
      </c>
      <c r="G101" s="27">
        <v>42701</v>
      </c>
      <c r="H101" s="9">
        <v>4</v>
      </c>
      <c r="I101" s="7" t="s">
        <v>180</v>
      </c>
      <c r="J101" s="7" t="s">
        <v>258</v>
      </c>
    </row>
    <row r="102" spans="1:10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9" t="s">
        <v>177</v>
      </c>
      <c r="F102" s="28" t="str">
        <f t="shared" si="3"/>
        <v>N/A</v>
      </c>
      <c r="G102" s="27">
        <v>42708</v>
      </c>
      <c r="H102" s="9">
        <v>2</v>
      </c>
      <c r="I102" s="7" t="s">
        <v>179</v>
      </c>
      <c r="J102" s="7" t="s">
        <v>259</v>
      </c>
    </row>
    <row r="103" spans="1:10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9">
        <v>66503</v>
      </c>
      <c r="F103" s="28" t="str">
        <f t="shared" si="3"/>
        <v>Medium</v>
      </c>
      <c r="G103" s="27">
        <v>42715</v>
      </c>
      <c r="H103" s="9"/>
      <c r="I103" s="7" t="s">
        <v>180</v>
      </c>
      <c r="J103" s="7" t="s">
        <v>200</v>
      </c>
    </row>
    <row r="104" spans="1:10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9">
        <v>42096</v>
      </c>
      <c r="F104" s="28" t="str">
        <f t="shared" si="3"/>
        <v>Low</v>
      </c>
      <c r="G104" s="27">
        <v>42722</v>
      </c>
      <c r="H104" s="9"/>
      <c r="I104" s="7" t="s">
        <v>181</v>
      </c>
      <c r="J104" s="7" t="s">
        <v>260</v>
      </c>
    </row>
    <row r="105" spans="1:10" x14ac:dyDescent="0.3">
      <c r="A105" s="7" t="s">
        <v>112</v>
      </c>
      <c r="B105" s="7" t="s">
        <v>160</v>
      </c>
      <c r="C105" s="7" t="s">
        <v>170</v>
      </c>
      <c r="D105" s="7"/>
      <c r="E105" s="9">
        <v>79145</v>
      </c>
      <c r="F105" s="28" t="str">
        <f t="shared" si="3"/>
        <v>High</v>
      </c>
      <c r="G105" s="27">
        <v>42729</v>
      </c>
      <c r="H105" s="9">
        <v>5</v>
      </c>
      <c r="I105" s="7" t="s">
        <v>179</v>
      </c>
      <c r="J105" s="7" t="s">
        <v>223</v>
      </c>
    </row>
    <row r="106" spans="1:10" x14ac:dyDescent="0.3">
      <c r="A106" s="7" t="s">
        <v>113</v>
      </c>
      <c r="B106" s="7" t="s">
        <v>162</v>
      </c>
      <c r="C106" s="7"/>
      <c r="D106" s="7" t="s">
        <v>176</v>
      </c>
      <c r="E106" s="9">
        <v>61556</v>
      </c>
      <c r="F106" s="28" t="str">
        <f t="shared" si="3"/>
        <v>Medium</v>
      </c>
      <c r="G106" s="27">
        <v>42736</v>
      </c>
      <c r="H106" s="9">
        <v>1</v>
      </c>
      <c r="I106" s="7"/>
      <c r="J106" s="7" t="s">
        <v>259</v>
      </c>
    </row>
    <row r="107" spans="1:10" x14ac:dyDescent="0.3">
      <c r="A107" s="7" t="s">
        <v>114</v>
      </c>
      <c r="B107" s="7"/>
      <c r="C107" s="7" t="s">
        <v>167</v>
      </c>
      <c r="D107" s="7" t="s">
        <v>175</v>
      </c>
      <c r="E107" s="9">
        <v>87963</v>
      </c>
      <c r="F107" s="28" t="str">
        <f t="shared" si="3"/>
        <v>High</v>
      </c>
      <c r="G107" s="27">
        <v>42743</v>
      </c>
      <c r="H107" s="9">
        <v>3</v>
      </c>
      <c r="I107" s="7" t="s">
        <v>179</v>
      </c>
      <c r="J107" s="7" t="s">
        <v>182</v>
      </c>
    </row>
    <row r="108" spans="1:10" x14ac:dyDescent="0.3">
      <c r="A108" s="7" t="s">
        <v>115</v>
      </c>
      <c r="B108" s="7" t="s">
        <v>159</v>
      </c>
      <c r="C108" s="7" t="s">
        <v>169</v>
      </c>
      <c r="D108" s="7"/>
      <c r="E108" s="9">
        <v>48325</v>
      </c>
      <c r="F108" s="28" t="str">
        <f t="shared" si="3"/>
        <v>Low</v>
      </c>
      <c r="G108" s="27">
        <v>42750</v>
      </c>
      <c r="H108" s="9"/>
      <c r="I108" s="7" t="s">
        <v>180</v>
      </c>
      <c r="J108" s="7" t="s">
        <v>261</v>
      </c>
    </row>
    <row r="109" spans="1:10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9">
        <v>86412</v>
      </c>
      <c r="F109" s="28" t="str">
        <f t="shared" si="3"/>
        <v>High</v>
      </c>
      <c r="G109" s="27">
        <v>42757</v>
      </c>
      <c r="H109" s="9">
        <v>2</v>
      </c>
      <c r="I109" s="7" t="s">
        <v>181</v>
      </c>
      <c r="J109" s="7" t="s">
        <v>202</v>
      </c>
    </row>
    <row r="110" spans="1:10" x14ac:dyDescent="0.3">
      <c r="A110" s="7" t="s">
        <v>117</v>
      </c>
      <c r="B110" s="7" t="s">
        <v>163</v>
      </c>
      <c r="C110" s="7" t="s">
        <v>167</v>
      </c>
      <c r="D110" s="7"/>
      <c r="E110" s="9">
        <v>66761</v>
      </c>
      <c r="F110" s="28" t="str">
        <f t="shared" si="3"/>
        <v>Medium</v>
      </c>
      <c r="G110" s="27">
        <v>42764</v>
      </c>
      <c r="H110" s="9">
        <v>1</v>
      </c>
      <c r="I110" s="7"/>
      <c r="J110" s="7" t="s">
        <v>262</v>
      </c>
    </row>
    <row r="111" spans="1:10" x14ac:dyDescent="0.3">
      <c r="A111" s="7" t="s">
        <v>118</v>
      </c>
      <c r="B111" s="7" t="s">
        <v>162</v>
      </c>
      <c r="C111" s="7"/>
      <c r="D111" s="7" t="s">
        <v>174</v>
      </c>
      <c r="E111" s="9">
        <v>88850</v>
      </c>
      <c r="F111" s="28" t="str">
        <f t="shared" si="3"/>
        <v>High</v>
      </c>
      <c r="G111" s="27">
        <v>42771</v>
      </c>
      <c r="H111" s="9">
        <v>1</v>
      </c>
      <c r="I111" s="7" t="s">
        <v>181</v>
      </c>
      <c r="J111" s="7" t="s">
        <v>263</v>
      </c>
    </row>
    <row r="112" spans="1:10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9">
        <v>31293</v>
      </c>
      <c r="F112" s="28" t="str">
        <f t="shared" si="3"/>
        <v>Low</v>
      </c>
      <c r="G112" s="27"/>
      <c r="H112" s="9">
        <v>2</v>
      </c>
      <c r="I112" s="7" t="s">
        <v>181</v>
      </c>
      <c r="J112" s="7" t="s">
        <v>264</v>
      </c>
    </row>
    <row r="113" spans="1:10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9">
        <v>34306</v>
      </c>
      <c r="F113" s="28" t="str">
        <f t="shared" si="3"/>
        <v>Low</v>
      </c>
      <c r="G113" s="27">
        <v>42785</v>
      </c>
      <c r="H113" s="9">
        <v>5</v>
      </c>
      <c r="I113" s="7" t="s">
        <v>181</v>
      </c>
      <c r="J113" s="7" t="s">
        <v>239</v>
      </c>
    </row>
    <row r="114" spans="1:10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9">
        <v>78330</v>
      </c>
      <c r="F114" s="28" t="str">
        <f t="shared" si="3"/>
        <v>High</v>
      </c>
      <c r="G114" s="27">
        <v>42792</v>
      </c>
      <c r="H114" s="9"/>
      <c r="I114" s="7" t="s">
        <v>179</v>
      </c>
      <c r="J114" s="7" t="s">
        <v>258</v>
      </c>
    </row>
    <row r="115" spans="1:10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9">
        <v>47653</v>
      </c>
      <c r="F115" s="28" t="str">
        <f t="shared" si="3"/>
        <v>Low</v>
      </c>
      <c r="G115" s="27">
        <v>42799</v>
      </c>
      <c r="H115" s="9">
        <v>1</v>
      </c>
      <c r="I115" s="7" t="s">
        <v>180</v>
      </c>
      <c r="J115" s="7" t="s">
        <v>265</v>
      </c>
    </row>
    <row r="116" spans="1:10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9">
        <v>44627</v>
      </c>
      <c r="F116" s="28" t="str">
        <f t="shared" si="3"/>
        <v>Low</v>
      </c>
      <c r="G116" s="27">
        <v>42806</v>
      </c>
      <c r="H116" s="9">
        <v>4</v>
      </c>
      <c r="I116" s="7"/>
      <c r="J116" s="7" t="s">
        <v>235</v>
      </c>
    </row>
    <row r="117" spans="1:10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9">
        <v>92343</v>
      </c>
      <c r="F117" s="28" t="str">
        <f t="shared" si="3"/>
        <v>High</v>
      </c>
      <c r="G117" s="27">
        <v>42813</v>
      </c>
      <c r="H117" s="9">
        <v>4</v>
      </c>
      <c r="I117" s="7" t="s">
        <v>181</v>
      </c>
      <c r="J117" s="7" t="s">
        <v>203</v>
      </c>
    </row>
    <row r="118" spans="1:10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9">
        <v>38837</v>
      </c>
      <c r="F118" s="28" t="str">
        <f t="shared" si="3"/>
        <v>Low</v>
      </c>
      <c r="G118" s="27">
        <v>42820</v>
      </c>
      <c r="H118" s="9">
        <v>5</v>
      </c>
      <c r="I118" s="7" t="s">
        <v>181</v>
      </c>
      <c r="J118" s="7" t="s">
        <v>239</v>
      </c>
    </row>
    <row r="119" spans="1:10" x14ac:dyDescent="0.3">
      <c r="A119" s="7" t="s">
        <v>126</v>
      </c>
      <c r="B119" s="7" t="s">
        <v>165</v>
      </c>
      <c r="C119" s="7" t="s">
        <v>170</v>
      </c>
      <c r="D119" s="7"/>
      <c r="E119" s="9">
        <v>73483</v>
      </c>
      <c r="F119" s="28" t="str">
        <f t="shared" si="3"/>
        <v>Medium</v>
      </c>
      <c r="G119" s="27">
        <v>42827</v>
      </c>
      <c r="H119" s="9">
        <v>1</v>
      </c>
      <c r="I119" s="7"/>
      <c r="J119" s="7" t="s">
        <v>266</v>
      </c>
    </row>
    <row r="120" spans="1:10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9">
        <v>95032</v>
      </c>
      <c r="F120" s="28" t="str">
        <f t="shared" si="3"/>
        <v>High</v>
      </c>
      <c r="G120" s="27">
        <v>42834</v>
      </c>
      <c r="H120" s="9">
        <v>3</v>
      </c>
      <c r="I120" s="7"/>
      <c r="J120" s="7" t="s">
        <v>267</v>
      </c>
    </row>
    <row r="121" spans="1:10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9">
        <v>44358</v>
      </c>
      <c r="F121" s="28" t="str">
        <f t="shared" si="3"/>
        <v>Low</v>
      </c>
      <c r="G121" s="27">
        <v>42841</v>
      </c>
      <c r="H121" s="9"/>
      <c r="I121" s="7" t="s">
        <v>181</v>
      </c>
      <c r="J121" s="7" t="s">
        <v>200</v>
      </c>
    </row>
    <row r="122" spans="1:10" x14ac:dyDescent="0.3">
      <c r="A122" s="7" t="s">
        <v>129</v>
      </c>
      <c r="B122" s="7"/>
      <c r="C122" s="7" t="s">
        <v>169</v>
      </c>
      <c r="D122" s="7" t="s">
        <v>173</v>
      </c>
      <c r="E122" s="9" t="s">
        <v>177</v>
      </c>
      <c r="F122" s="28" t="str">
        <f t="shared" si="3"/>
        <v>N/A</v>
      </c>
      <c r="G122" s="27"/>
      <c r="H122" s="9">
        <v>5</v>
      </c>
      <c r="I122" s="7" t="s">
        <v>178</v>
      </c>
      <c r="J122" s="7" t="s">
        <v>268</v>
      </c>
    </row>
    <row r="123" spans="1:10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9">
        <v>45676</v>
      </c>
      <c r="F123" s="28" t="str">
        <f t="shared" si="3"/>
        <v>Low</v>
      </c>
      <c r="G123" s="27">
        <v>42855</v>
      </c>
      <c r="H123" s="9">
        <v>2</v>
      </c>
      <c r="I123" s="7"/>
      <c r="J123" s="7" t="s">
        <v>269</v>
      </c>
    </row>
    <row r="124" spans="1:10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9">
        <v>52036</v>
      </c>
      <c r="F124" s="28" t="str">
        <f t="shared" si="3"/>
        <v>Medium</v>
      </c>
      <c r="G124" s="27">
        <v>42862</v>
      </c>
      <c r="H124" s="9">
        <v>3</v>
      </c>
      <c r="I124" s="7" t="s">
        <v>180</v>
      </c>
      <c r="J124" s="7" t="s">
        <v>270</v>
      </c>
    </row>
    <row r="125" spans="1:10" x14ac:dyDescent="0.3">
      <c r="A125" s="7" t="s">
        <v>132</v>
      </c>
      <c r="B125" s="7" t="s">
        <v>162</v>
      </c>
      <c r="C125" s="7"/>
      <c r="D125" s="7" t="s">
        <v>172</v>
      </c>
      <c r="E125" s="9">
        <v>30357</v>
      </c>
      <c r="F125" s="28" t="str">
        <f t="shared" si="3"/>
        <v>Low</v>
      </c>
      <c r="G125" s="27">
        <v>42869</v>
      </c>
      <c r="H125" s="9">
        <v>5</v>
      </c>
      <c r="I125" s="7" t="s">
        <v>180</v>
      </c>
      <c r="J125" s="7" t="s">
        <v>248</v>
      </c>
    </row>
    <row r="126" spans="1:10" x14ac:dyDescent="0.3">
      <c r="A126" s="7" t="s">
        <v>133</v>
      </c>
      <c r="B126" s="7" t="s">
        <v>161</v>
      </c>
      <c r="C126" s="7" t="s">
        <v>169</v>
      </c>
      <c r="D126" s="7"/>
      <c r="E126" s="9">
        <v>60034</v>
      </c>
      <c r="F126" s="28" t="str">
        <f t="shared" si="3"/>
        <v>Medium</v>
      </c>
      <c r="G126" s="27">
        <v>42876</v>
      </c>
      <c r="H126" s="9">
        <v>1</v>
      </c>
      <c r="I126" s="7" t="s">
        <v>181</v>
      </c>
      <c r="J126" s="7" t="s">
        <v>271</v>
      </c>
    </row>
    <row r="127" spans="1:10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9">
        <v>90019</v>
      </c>
      <c r="F127" s="28" t="str">
        <f t="shared" si="3"/>
        <v>High</v>
      </c>
      <c r="G127" s="27">
        <v>42883</v>
      </c>
      <c r="H127" s="9">
        <v>5</v>
      </c>
      <c r="I127" s="7"/>
      <c r="J127" s="7" t="s">
        <v>272</v>
      </c>
    </row>
    <row r="128" spans="1:10" x14ac:dyDescent="0.3">
      <c r="A128" s="7" t="s">
        <v>135</v>
      </c>
      <c r="B128" s="7" t="s">
        <v>165</v>
      </c>
      <c r="C128" s="7"/>
      <c r="D128" s="7" t="s">
        <v>172</v>
      </c>
      <c r="E128" s="9">
        <v>71494</v>
      </c>
      <c r="F128" s="28" t="str">
        <f t="shared" si="3"/>
        <v>Medium</v>
      </c>
      <c r="G128" s="27">
        <v>42890</v>
      </c>
      <c r="H128" s="9">
        <v>3</v>
      </c>
      <c r="I128" s="7" t="s">
        <v>180</v>
      </c>
      <c r="J128" s="7" t="s">
        <v>273</v>
      </c>
    </row>
    <row r="129" spans="1:10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9">
        <v>91953</v>
      </c>
      <c r="F129" s="28" t="str">
        <f t="shared" si="3"/>
        <v>High</v>
      </c>
      <c r="G129" s="27">
        <v>42897</v>
      </c>
      <c r="H129" s="9">
        <v>2</v>
      </c>
      <c r="I129" s="7" t="s">
        <v>180</v>
      </c>
      <c r="J129" s="7" t="s">
        <v>209</v>
      </c>
    </row>
    <row r="130" spans="1:10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9">
        <v>30402</v>
      </c>
      <c r="F130" s="28" t="str">
        <f t="shared" ref="F130:F151" si="4">IF(ISNUMBER(E130),IF(E130&gt;75000,"High",IF(E130&gt;50000,"Medium","Low")),"N/A")</f>
        <v>Low</v>
      </c>
      <c r="G130" s="27">
        <v>42904</v>
      </c>
      <c r="H130" s="9">
        <v>1</v>
      </c>
      <c r="I130" s="7"/>
      <c r="J130" s="7" t="s">
        <v>274</v>
      </c>
    </row>
    <row r="131" spans="1:10" x14ac:dyDescent="0.3">
      <c r="A131" s="7" t="s">
        <v>138</v>
      </c>
      <c r="B131" s="7" t="s">
        <v>165</v>
      </c>
      <c r="C131" s="7"/>
      <c r="D131" s="7" t="s">
        <v>175</v>
      </c>
      <c r="E131" s="9">
        <v>62994</v>
      </c>
      <c r="F131" s="28" t="str">
        <f t="shared" si="4"/>
        <v>Medium</v>
      </c>
      <c r="G131" s="27">
        <v>42911</v>
      </c>
      <c r="H131" s="9"/>
      <c r="I131" s="7"/>
      <c r="J131" s="7" t="s">
        <v>221</v>
      </c>
    </row>
    <row r="132" spans="1:10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9">
        <v>48289</v>
      </c>
      <c r="F132" s="28" t="str">
        <f t="shared" si="4"/>
        <v>Low</v>
      </c>
      <c r="G132" s="27"/>
      <c r="H132" s="9">
        <v>3</v>
      </c>
      <c r="I132" s="7" t="s">
        <v>180</v>
      </c>
      <c r="J132" s="7" t="s">
        <v>189</v>
      </c>
    </row>
    <row r="133" spans="1:10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9">
        <v>34402</v>
      </c>
      <c r="F133" s="28" t="str">
        <f t="shared" si="4"/>
        <v>Low</v>
      </c>
      <c r="G133" s="27">
        <v>42925</v>
      </c>
      <c r="H133" s="9">
        <v>3</v>
      </c>
      <c r="I133" s="7" t="s">
        <v>179</v>
      </c>
      <c r="J133" s="7" t="s">
        <v>218</v>
      </c>
    </row>
    <row r="134" spans="1:10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9">
        <v>38678</v>
      </c>
      <c r="F134" s="28" t="str">
        <f t="shared" si="4"/>
        <v>Low</v>
      </c>
      <c r="G134" s="27">
        <v>42932</v>
      </c>
      <c r="H134" s="9">
        <v>3</v>
      </c>
      <c r="I134" s="7" t="s">
        <v>179</v>
      </c>
      <c r="J134" s="7" t="s">
        <v>275</v>
      </c>
    </row>
    <row r="135" spans="1:10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9">
        <v>45758</v>
      </c>
      <c r="F135" s="28" t="str">
        <f t="shared" si="4"/>
        <v>Low</v>
      </c>
      <c r="G135" s="27">
        <v>42939</v>
      </c>
      <c r="H135" s="9">
        <v>3</v>
      </c>
      <c r="I135" s="7"/>
      <c r="J135" s="7" t="s">
        <v>264</v>
      </c>
    </row>
    <row r="136" spans="1:10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9">
        <v>62476</v>
      </c>
      <c r="F136" s="28" t="str">
        <f t="shared" si="4"/>
        <v>Medium</v>
      </c>
      <c r="G136" s="27">
        <v>42946</v>
      </c>
      <c r="H136" s="9">
        <v>1</v>
      </c>
      <c r="I136" s="7" t="s">
        <v>179</v>
      </c>
      <c r="J136" s="7" t="s">
        <v>231</v>
      </c>
    </row>
    <row r="137" spans="1:10" x14ac:dyDescent="0.3">
      <c r="A137" s="7" t="s">
        <v>144</v>
      </c>
      <c r="B137" s="7"/>
      <c r="C137" s="7" t="s">
        <v>169</v>
      </c>
      <c r="D137" s="7" t="s">
        <v>175</v>
      </c>
      <c r="E137" s="9">
        <v>39280</v>
      </c>
      <c r="F137" s="28" t="str">
        <f t="shared" si="4"/>
        <v>Low</v>
      </c>
      <c r="G137" s="27">
        <v>42953</v>
      </c>
      <c r="H137" s="9">
        <v>3</v>
      </c>
      <c r="I137" s="7" t="s">
        <v>181</v>
      </c>
      <c r="J137" s="7" t="s">
        <v>214</v>
      </c>
    </row>
    <row r="138" spans="1:10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9">
        <v>60335</v>
      </c>
      <c r="F138" s="28" t="str">
        <f t="shared" si="4"/>
        <v>Medium</v>
      </c>
      <c r="G138" s="27">
        <v>42960</v>
      </c>
      <c r="H138" s="9">
        <v>4</v>
      </c>
      <c r="I138" s="7" t="s">
        <v>179</v>
      </c>
      <c r="J138" s="7" t="s">
        <v>227</v>
      </c>
    </row>
    <row r="139" spans="1:10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9">
        <v>84968</v>
      </c>
      <c r="F139" s="28" t="str">
        <f t="shared" si="4"/>
        <v>High</v>
      </c>
      <c r="G139" s="27">
        <v>42967</v>
      </c>
      <c r="H139" s="9"/>
      <c r="I139" s="7"/>
      <c r="J139" s="7" t="s">
        <v>276</v>
      </c>
    </row>
    <row r="140" spans="1:10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9">
        <v>84750</v>
      </c>
      <c r="F140" s="28" t="str">
        <f t="shared" si="4"/>
        <v>High</v>
      </c>
      <c r="G140" s="27">
        <v>42974</v>
      </c>
      <c r="H140" s="9">
        <v>4</v>
      </c>
      <c r="I140" s="7" t="s">
        <v>181</v>
      </c>
      <c r="J140" s="7" t="s">
        <v>195</v>
      </c>
    </row>
    <row r="141" spans="1:10" x14ac:dyDescent="0.3">
      <c r="A141" s="7" t="s">
        <v>148</v>
      </c>
      <c r="B141" s="7" t="s">
        <v>165</v>
      </c>
      <c r="C141" s="7" t="s">
        <v>169</v>
      </c>
      <c r="D141" s="7"/>
      <c r="E141" s="9">
        <v>73348</v>
      </c>
      <c r="F141" s="28" t="str">
        <f t="shared" si="4"/>
        <v>Medium</v>
      </c>
      <c r="G141" s="27">
        <v>42981</v>
      </c>
      <c r="H141" s="9">
        <v>2</v>
      </c>
      <c r="I141" s="7"/>
      <c r="J141" s="7" t="s">
        <v>243</v>
      </c>
    </row>
    <row r="142" spans="1:10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9" t="s">
        <v>177</v>
      </c>
      <c r="F142" s="28" t="str">
        <f t="shared" si="4"/>
        <v>N/A</v>
      </c>
      <c r="G142" s="27">
        <v>42988</v>
      </c>
      <c r="H142" s="9">
        <v>4</v>
      </c>
      <c r="I142" s="7" t="s">
        <v>179</v>
      </c>
      <c r="J142" s="7" t="s">
        <v>182</v>
      </c>
    </row>
    <row r="143" spans="1:10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9">
        <v>66882</v>
      </c>
      <c r="F143" s="28" t="str">
        <f t="shared" si="4"/>
        <v>Medium</v>
      </c>
      <c r="G143" s="27">
        <v>42995</v>
      </c>
      <c r="H143" s="9">
        <v>5</v>
      </c>
      <c r="I143" s="7" t="s">
        <v>179</v>
      </c>
      <c r="J143" s="7" t="s">
        <v>207</v>
      </c>
    </row>
    <row r="144" spans="1:10" x14ac:dyDescent="0.3">
      <c r="A144" s="7" t="s">
        <v>151</v>
      </c>
      <c r="B144" s="7" t="s">
        <v>160</v>
      </c>
      <c r="C144" s="7" t="s">
        <v>170</v>
      </c>
      <c r="D144" s="7"/>
      <c r="E144" s="9">
        <v>86775</v>
      </c>
      <c r="F144" s="28" t="str">
        <f t="shared" si="4"/>
        <v>High</v>
      </c>
      <c r="G144" s="27">
        <v>43002</v>
      </c>
      <c r="H144" s="9">
        <v>3</v>
      </c>
      <c r="I144" s="7" t="s">
        <v>179</v>
      </c>
      <c r="J144" s="7" t="s">
        <v>212</v>
      </c>
    </row>
    <row r="145" spans="1:10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9">
        <v>91620</v>
      </c>
      <c r="F145" s="28" t="str">
        <f t="shared" si="4"/>
        <v>High</v>
      </c>
      <c r="G145" s="27">
        <v>43009</v>
      </c>
      <c r="H145" s="9"/>
      <c r="I145" s="7"/>
      <c r="J145" s="7" t="s">
        <v>277</v>
      </c>
    </row>
    <row r="146" spans="1:10" x14ac:dyDescent="0.3">
      <c r="A146" s="7" t="s">
        <v>153</v>
      </c>
      <c r="B146" s="7" t="s">
        <v>159</v>
      </c>
      <c r="C146" s="7"/>
      <c r="D146" s="7"/>
      <c r="E146" s="9">
        <v>94148</v>
      </c>
      <c r="F146" s="28" t="str">
        <f t="shared" si="4"/>
        <v>High</v>
      </c>
      <c r="G146" s="27">
        <v>43016</v>
      </c>
      <c r="H146" s="9">
        <v>2</v>
      </c>
      <c r="I146" s="7"/>
      <c r="J146" s="7" t="s">
        <v>278</v>
      </c>
    </row>
    <row r="147" spans="1:10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9">
        <v>35627</v>
      </c>
      <c r="F147" s="28" t="str">
        <f t="shared" si="4"/>
        <v>Low</v>
      </c>
      <c r="G147" s="27">
        <v>43023</v>
      </c>
      <c r="H147" s="9">
        <v>5</v>
      </c>
      <c r="I147" s="7" t="s">
        <v>181</v>
      </c>
      <c r="J147" s="7" t="s">
        <v>275</v>
      </c>
    </row>
    <row r="148" spans="1:10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9">
        <v>57141</v>
      </c>
      <c r="F148" s="28" t="str">
        <f t="shared" si="4"/>
        <v>Medium</v>
      </c>
      <c r="G148" s="27">
        <v>43030</v>
      </c>
      <c r="H148" s="9">
        <v>2</v>
      </c>
      <c r="I148" s="7"/>
      <c r="J148" s="7" t="s">
        <v>276</v>
      </c>
    </row>
    <row r="149" spans="1:10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9">
        <v>65270</v>
      </c>
      <c r="F149" s="28" t="str">
        <f t="shared" si="4"/>
        <v>Medium</v>
      </c>
      <c r="G149" s="27">
        <v>43037</v>
      </c>
      <c r="H149" s="9">
        <v>1</v>
      </c>
      <c r="I149" s="7"/>
      <c r="J149" s="7" t="s">
        <v>279</v>
      </c>
    </row>
    <row r="150" spans="1:10" x14ac:dyDescent="0.3">
      <c r="A150" s="7" t="s">
        <v>157</v>
      </c>
      <c r="B150" s="7" t="s">
        <v>165</v>
      </c>
      <c r="C150" s="7"/>
      <c r="D150" s="7" t="s">
        <v>175</v>
      </c>
      <c r="E150" s="9">
        <v>67335</v>
      </c>
      <c r="F150" s="28" t="str">
        <f t="shared" si="4"/>
        <v>Medium</v>
      </c>
      <c r="G150" s="27">
        <v>43044</v>
      </c>
      <c r="H150" s="9">
        <v>1</v>
      </c>
      <c r="I150" s="7" t="s">
        <v>179</v>
      </c>
      <c r="J150" s="7" t="s">
        <v>233</v>
      </c>
    </row>
    <row r="151" spans="1:10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9">
        <v>98475</v>
      </c>
      <c r="F151" s="28" t="str">
        <f t="shared" si="4"/>
        <v>High</v>
      </c>
      <c r="G151" s="27">
        <v>43051</v>
      </c>
      <c r="H151" s="9">
        <v>5</v>
      </c>
      <c r="I151" s="7" t="s">
        <v>179</v>
      </c>
      <c r="J151" s="7" t="s">
        <v>280</v>
      </c>
    </row>
    <row r="152" spans="1:10" x14ac:dyDescent="0.3">
      <c r="A152" s="7"/>
      <c r="D152" s="11" t="s">
        <v>302</v>
      </c>
      <c r="E152" s="12">
        <f>SUBTOTAL(109,Table13[Salary])</f>
        <v>9411892</v>
      </c>
    </row>
    <row r="153" spans="1:10" x14ac:dyDescent="0.3">
      <c r="A153" s="13">
        <f>COUNTA(A2:A151)</f>
        <v>150</v>
      </c>
      <c r="B153" s="13" t="s">
        <v>306</v>
      </c>
      <c r="D153" s="13" t="s">
        <v>303</v>
      </c>
      <c r="E153" s="13">
        <f>AVERAGE(E2:E151)</f>
        <v>66280.929577464791</v>
      </c>
    </row>
    <row r="154" spans="1:10" x14ac:dyDescent="0.3">
      <c r="D154" s="13" t="s">
        <v>304</v>
      </c>
      <c r="E154" s="13">
        <f>MIN(E2:E151)</f>
        <v>30280</v>
      </c>
    </row>
    <row r="155" spans="1:10" x14ac:dyDescent="0.3">
      <c r="D155" s="13" t="s">
        <v>305</v>
      </c>
      <c r="E155" s="13">
        <f>MAX(E1:E151)</f>
        <v>99621</v>
      </c>
    </row>
    <row r="160" spans="1:10" x14ac:dyDescent="0.3">
      <c r="J160" s="4"/>
    </row>
  </sheetData>
  <mergeCells count="1">
    <mergeCell ref="L1:N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3051-CC2B-4432-ADF3-CE836D852AC6}">
  <dimension ref="A1:M151"/>
  <sheetViews>
    <sheetView tabSelected="1" workbookViewId="0">
      <pane ySplit="1" topLeftCell="A2" activePane="bottomLeft" state="frozen"/>
      <selection activeCell="B1" sqref="B1"/>
      <selection pane="bottomLeft" activeCell="C8" sqref="C8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33203125" customWidth="1"/>
    <col min="5" max="5" width="11" bestFit="1" customWidth="1"/>
    <col min="6" max="6" width="19.5546875" style="44" bestFit="1" customWidth="1"/>
    <col min="7" max="7" width="23.33203125" customWidth="1"/>
    <col min="8" max="8" width="11.44140625" customWidth="1"/>
    <col min="9" max="9" width="20.44140625" bestFit="1" customWidth="1"/>
    <col min="10" max="10" width="13.6640625" customWidth="1"/>
    <col min="11" max="11" width="18.6640625" customWidth="1"/>
    <col min="12" max="12" width="19.77734375" customWidth="1"/>
    <col min="13" max="13" width="21.109375" bestFit="1" customWidth="1"/>
  </cols>
  <sheetData>
    <row r="1" spans="1:13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49" t="s">
        <v>328</v>
      </c>
      <c r="K1" s="49" t="s">
        <v>331</v>
      </c>
      <c r="L1" s="49" t="s">
        <v>330</v>
      </c>
      <c r="M1" s="49" t="s">
        <v>332</v>
      </c>
    </row>
    <row r="2" spans="1:13" x14ac:dyDescent="0.3">
      <c r="A2" s="7" t="s">
        <v>9</v>
      </c>
      <c r="C2" t="s">
        <v>166</v>
      </c>
      <c r="D2" s="7" t="s">
        <v>171</v>
      </c>
      <c r="E2" s="9" t="s">
        <v>177</v>
      </c>
      <c r="G2">
        <v>2</v>
      </c>
      <c r="H2" t="s">
        <v>178</v>
      </c>
      <c r="I2" t="s">
        <v>182</v>
      </c>
      <c r="J2" s="9" t="str">
        <f>RIGHT(Table14[[#This Row],[Employee ID]],4)</f>
        <v>1000</v>
      </c>
      <c r="K2" t="str">
        <f>PROPER(Table14[[#This Row],[Name]])</f>
        <v/>
      </c>
      <c r="L2" t="str">
        <f>UPPER(Table14[[#This Row],[Country]])</f>
        <v xml:space="preserve"> </v>
      </c>
      <c r="M2" t="str">
        <f>LOWER(Table14[[#This Row],[Country]])</f>
        <v xml:space="preserve"> </v>
      </c>
    </row>
    <row r="3" spans="1:13" x14ac:dyDescent="0.3">
      <c r="A3" s="7" t="s">
        <v>10</v>
      </c>
      <c r="B3" s="7" t="s">
        <v>329</v>
      </c>
      <c r="C3" s="7" t="s">
        <v>167</v>
      </c>
      <c r="D3" s="7" t="s">
        <v>172</v>
      </c>
      <c r="E3" s="9">
        <v>54255</v>
      </c>
      <c r="F3" s="45">
        <v>42015</v>
      </c>
      <c r="G3" s="9">
        <v>1</v>
      </c>
      <c r="H3" t="s">
        <v>179</v>
      </c>
      <c r="I3" t="s">
        <v>183</v>
      </c>
      <c r="J3" s="9" t="str">
        <f>RIGHT(Table14[[#This Row],[Employee ID]],4)</f>
        <v>1001</v>
      </c>
      <c r="K3" t="str">
        <f>PROPER(Table14[[#This Row],[Name]])</f>
        <v>Eve Adams</v>
      </c>
      <c r="L3" t="str">
        <f>UPPER(Table14[[#This Row],[Country]])</f>
        <v>GERMANY</v>
      </c>
      <c r="M3" t="str">
        <f>LOWER(Table14[[#This Row],[Country]])</f>
        <v>germany</v>
      </c>
    </row>
    <row r="4" spans="1:13" x14ac:dyDescent="0.3">
      <c r="A4" s="7" t="s">
        <v>11</v>
      </c>
      <c r="B4" s="7" t="s">
        <v>160</v>
      </c>
      <c r="C4" s="7" t="s">
        <v>166</v>
      </c>
      <c r="D4" s="7" t="s">
        <v>172</v>
      </c>
      <c r="E4" s="9">
        <v>63184</v>
      </c>
      <c r="F4" s="45">
        <v>42022</v>
      </c>
      <c r="G4" s="9">
        <v>2</v>
      </c>
      <c r="I4" t="s">
        <v>184</v>
      </c>
      <c r="J4" s="9" t="str">
        <f>RIGHT(Table14[[#This Row],[Employee ID]],4)</f>
        <v>1002</v>
      </c>
      <c r="K4" t="str">
        <f>PROPER(Table14[[#This Row],[Name]])</f>
        <v>Alice Brown</v>
      </c>
      <c r="L4" t="str">
        <f>UPPER(Table14[[#This Row],[Country]])</f>
        <v>GERMANY</v>
      </c>
      <c r="M4" t="str">
        <f>LOWER(Table14[[#This Row],[Country]])</f>
        <v>germany</v>
      </c>
    </row>
    <row r="5" spans="1:13" x14ac:dyDescent="0.3">
      <c r="A5" s="7" t="s">
        <v>12</v>
      </c>
      <c r="B5" s="7" t="s">
        <v>327</v>
      </c>
      <c r="C5" s="7" t="s">
        <v>168</v>
      </c>
      <c r="D5" s="7" t="s">
        <v>173</v>
      </c>
      <c r="E5" s="9">
        <v>94406</v>
      </c>
      <c r="F5" s="45">
        <v>42029</v>
      </c>
      <c r="G5" s="9">
        <v>1</v>
      </c>
      <c r="H5" t="s">
        <v>180</v>
      </c>
      <c r="I5" t="s">
        <v>185</v>
      </c>
      <c r="J5" s="9" t="str">
        <f>RIGHT(Table14[[#This Row],[Employee ID]],4)</f>
        <v>1003</v>
      </c>
      <c r="K5" t="str">
        <f>PROPER(Table14[[#This Row],[Name]])</f>
        <v>John Doe</v>
      </c>
      <c r="L5" t="str">
        <f>UPPER(Table14[[#This Row],[Country]])</f>
        <v>USA</v>
      </c>
      <c r="M5" t="str">
        <f>LOWER(Table14[[#This Row],[Country]])</f>
        <v>usa</v>
      </c>
    </row>
    <row r="6" spans="1:13" x14ac:dyDescent="0.3">
      <c r="A6" s="7" t="s">
        <v>13</v>
      </c>
      <c r="B6" s="7" t="s">
        <v>162</v>
      </c>
      <c r="C6" s="7" t="s">
        <v>168</v>
      </c>
      <c r="D6" s="7" t="s">
        <v>172</v>
      </c>
      <c r="E6" s="9">
        <v>64120</v>
      </c>
      <c r="F6" s="45">
        <v>42036</v>
      </c>
      <c r="G6" s="9">
        <v>1</v>
      </c>
      <c r="H6" t="s">
        <v>180</v>
      </c>
      <c r="I6" t="s">
        <v>186</v>
      </c>
      <c r="J6" s="9" t="str">
        <f>RIGHT(Table14[[#This Row],[Employee ID]],4)</f>
        <v>1004</v>
      </c>
      <c r="K6" t="str">
        <f>PROPER(Table14[[#This Row],[Name]])</f>
        <v>Jane Smith</v>
      </c>
      <c r="L6" t="str">
        <f>UPPER(Table14[[#This Row],[Country]])</f>
        <v>GERMANY</v>
      </c>
      <c r="M6" t="str">
        <f>LOWER(Table14[[#This Row],[Country]])</f>
        <v>germany</v>
      </c>
    </row>
    <row r="7" spans="1:13" x14ac:dyDescent="0.3">
      <c r="A7" s="7" t="s">
        <v>14</v>
      </c>
      <c r="B7" s="7" t="s">
        <v>160</v>
      </c>
      <c r="C7" s="7" t="s">
        <v>169</v>
      </c>
      <c r="D7" s="7" t="s">
        <v>174</v>
      </c>
      <c r="E7" s="9">
        <v>78421</v>
      </c>
      <c r="F7" s="45">
        <v>42043</v>
      </c>
      <c r="G7" s="9">
        <v>2</v>
      </c>
      <c r="H7" t="s">
        <v>181</v>
      </c>
      <c r="I7" t="s">
        <v>187</v>
      </c>
      <c r="J7" s="9" t="str">
        <f>RIGHT(Table14[[#This Row],[Employee ID]],4)</f>
        <v>1005</v>
      </c>
      <c r="K7" t="str">
        <f>PROPER(Table14[[#This Row],[Name]])</f>
        <v>Alice Brown</v>
      </c>
      <c r="L7" t="str">
        <f>UPPER(Table14[[#This Row],[Country]])</f>
        <v>INDIA</v>
      </c>
      <c r="M7" t="str">
        <f>LOWER(Table14[[#This Row],[Country]])</f>
        <v>india</v>
      </c>
    </row>
    <row r="8" spans="1:13" x14ac:dyDescent="0.3">
      <c r="A8" s="7" t="s">
        <v>15</v>
      </c>
      <c r="B8" s="7" t="s">
        <v>163</v>
      </c>
      <c r="C8" s="7" t="s">
        <v>168</v>
      </c>
      <c r="D8" s="7"/>
      <c r="E8" s="9">
        <v>67721</v>
      </c>
      <c r="F8" s="45">
        <v>42050</v>
      </c>
      <c r="G8" s="9"/>
      <c r="H8" t="s">
        <v>180</v>
      </c>
      <c r="I8" t="s">
        <v>185</v>
      </c>
      <c r="J8" s="9" t="str">
        <f>RIGHT(Table14[[#This Row],[Employee ID]],4)</f>
        <v>1006</v>
      </c>
      <c r="K8" t="str">
        <f>PROPER(Table14[[#This Row],[Name]])</f>
        <v>Sam Wilson</v>
      </c>
      <c r="L8" t="str">
        <f>UPPER(Table14[[#This Row],[Country]])</f>
        <v/>
      </c>
      <c r="M8" t="str">
        <f>LOWER(Table14[[#This Row],[Country]])</f>
        <v/>
      </c>
    </row>
    <row r="9" spans="1:13" x14ac:dyDescent="0.3">
      <c r="A9" s="7" t="s">
        <v>16</v>
      </c>
      <c r="B9" s="7" t="s">
        <v>326</v>
      </c>
      <c r="C9" s="7" t="s">
        <v>170</v>
      </c>
      <c r="D9" s="7"/>
      <c r="E9" s="9">
        <v>35364</v>
      </c>
      <c r="F9" s="45">
        <v>42057</v>
      </c>
      <c r="G9" s="9">
        <v>2</v>
      </c>
      <c r="H9" t="s">
        <v>179</v>
      </c>
      <c r="I9" t="s">
        <v>188</v>
      </c>
      <c r="J9" s="9" t="str">
        <f>RIGHT(Table14[[#This Row],[Employee ID]],4)</f>
        <v>1007</v>
      </c>
      <c r="K9" t="str">
        <f>PROPER(Table14[[#This Row],[Name]])</f>
        <v>Chris Lee</v>
      </c>
      <c r="L9" t="str">
        <f>UPPER(Table14[[#This Row],[Country]])</f>
        <v/>
      </c>
      <c r="M9" t="str">
        <f>LOWER(Table14[[#This Row],[Country]])</f>
        <v/>
      </c>
    </row>
    <row r="10" spans="1:13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9">
        <v>97881</v>
      </c>
      <c r="F10" s="45">
        <v>42064</v>
      </c>
      <c r="G10" s="9"/>
      <c r="H10" t="s">
        <v>181</v>
      </c>
      <c r="I10" t="s">
        <v>189</v>
      </c>
      <c r="J10" s="9" t="str">
        <f>RIGHT(Table14[[#This Row],[Employee ID]],4)</f>
        <v>1008</v>
      </c>
      <c r="K10" t="str">
        <f>PROPER(Table14[[#This Row],[Name]])</f>
        <v>Alice Brown</v>
      </c>
      <c r="L10" t="str">
        <f>UPPER(Table14[[#This Row],[Country]])</f>
        <v>GERMANY</v>
      </c>
      <c r="M10" t="str">
        <f>LOWER(Table14[[#This Row],[Country]])</f>
        <v>germany</v>
      </c>
    </row>
    <row r="11" spans="1:13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9">
        <v>91846</v>
      </c>
      <c r="F11" s="45">
        <v>42071</v>
      </c>
      <c r="G11" s="9"/>
      <c r="H11" t="s">
        <v>180</v>
      </c>
      <c r="I11" t="s">
        <v>190</v>
      </c>
      <c r="J11" s="9" t="str">
        <f>RIGHT(Table14[[#This Row],[Employee ID]],4)</f>
        <v>1009</v>
      </c>
      <c r="K11" t="str">
        <f>PROPER(Table14[[#This Row],[Name]])</f>
        <v>Chris Lee</v>
      </c>
      <c r="L11" t="str">
        <f>UPPER(Table14[[#This Row],[Country]])</f>
        <v>UK</v>
      </c>
      <c r="M11" t="str">
        <f>LOWER(Table14[[#This Row],[Country]])</f>
        <v>uk</v>
      </c>
    </row>
    <row r="12" spans="1:13" x14ac:dyDescent="0.3">
      <c r="A12" s="7" t="s">
        <v>19</v>
      </c>
      <c r="B12" s="7" t="s">
        <v>325</v>
      </c>
      <c r="C12" s="7" t="s">
        <v>166</v>
      </c>
      <c r="D12" s="7" t="s">
        <v>175</v>
      </c>
      <c r="E12" s="9">
        <v>64247</v>
      </c>
      <c r="F12" s="45">
        <v>42078</v>
      </c>
      <c r="G12" s="9">
        <v>1</v>
      </c>
      <c r="H12" t="s">
        <v>181</v>
      </c>
      <c r="I12" t="s">
        <v>191</v>
      </c>
      <c r="J12" s="9" t="str">
        <f>RIGHT(Table14[[#This Row],[Employee ID]],4)</f>
        <v>1010</v>
      </c>
      <c r="K12" t="str">
        <f>PROPER(Table14[[#This Row],[Name]])</f>
        <v>Sam Wilson</v>
      </c>
      <c r="L12" t="str">
        <f>UPPER(Table14[[#This Row],[Country]])</f>
        <v>UK</v>
      </c>
      <c r="M12" t="str">
        <f>LOWER(Table14[[#This Row],[Country]])</f>
        <v>uk</v>
      </c>
    </row>
    <row r="13" spans="1:13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9">
        <v>91180</v>
      </c>
      <c r="F13" s="45">
        <v>42085</v>
      </c>
      <c r="G13" s="9">
        <v>5</v>
      </c>
      <c r="H13" t="s">
        <v>180</v>
      </c>
      <c r="I13" t="s">
        <v>192</v>
      </c>
      <c r="J13" s="9" t="str">
        <f>RIGHT(Table14[[#This Row],[Employee ID]],4)</f>
        <v>1011</v>
      </c>
      <c r="K13" t="str">
        <f>PROPER(Table14[[#This Row],[Name]])</f>
        <v>Sam Wilson</v>
      </c>
      <c r="L13" t="str">
        <f>UPPER(Table14[[#This Row],[Country]])</f>
        <v>USA</v>
      </c>
      <c r="M13" t="str">
        <f>LOWER(Table14[[#This Row],[Country]])</f>
        <v>usa</v>
      </c>
    </row>
    <row r="14" spans="1:13" x14ac:dyDescent="0.3">
      <c r="A14" s="7" t="s">
        <v>21</v>
      </c>
      <c r="B14" s="7" t="s">
        <v>165</v>
      </c>
      <c r="C14" s="7" t="s">
        <v>168</v>
      </c>
      <c r="D14" s="7"/>
      <c r="E14" s="9">
        <v>96418</v>
      </c>
      <c r="F14" s="45">
        <v>42092</v>
      </c>
      <c r="G14" s="9">
        <v>5</v>
      </c>
      <c r="H14" t="s">
        <v>180</v>
      </c>
      <c r="I14" t="s">
        <v>183</v>
      </c>
      <c r="J14" s="9" t="str">
        <f>RIGHT(Table14[[#This Row],[Employee ID]],4)</f>
        <v>1012</v>
      </c>
      <c r="K14" t="str">
        <f>PROPER(Table14[[#This Row],[Name]])</f>
        <v>Bob Johnson</v>
      </c>
      <c r="L14" t="str">
        <f>UPPER(Table14[[#This Row],[Country]])</f>
        <v/>
      </c>
      <c r="M14" t="str">
        <f>LOWER(Table14[[#This Row],[Country]])</f>
        <v/>
      </c>
    </row>
    <row r="15" spans="1:13" x14ac:dyDescent="0.3">
      <c r="A15" s="7" t="s">
        <v>22</v>
      </c>
      <c r="B15" s="7" t="s">
        <v>163</v>
      </c>
      <c r="C15" s="7"/>
      <c r="D15" s="7" t="s">
        <v>174</v>
      </c>
      <c r="E15" s="9">
        <v>62158</v>
      </c>
      <c r="F15" s="45">
        <v>42099</v>
      </c>
      <c r="G15" s="9">
        <v>4</v>
      </c>
      <c r="I15" t="s">
        <v>193</v>
      </c>
      <c r="J15" s="9" t="str">
        <f>RIGHT(Table14[[#This Row],[Employee ID]],4)</f>
        <v>1013</v>
      </c>
      <c r="K15" t="str">
        <f>PROPER(Table14[[#This Row],[Name]])</f>
        <v>Sam Wilson</v>
      </c>
      <c r="L15" t="str">
        <f>UPPER(Table14[[#This Row],[Country]])</f>
        <v>INDIA</v>
      </c>
      <c r="M15" t="str">
        <f>LOWER(Table14[[#This Row],[Country]])</f>
        <v>india</v>
      </c>
    </row>
    <row r="16" spans="1:13" x14ac:dyDescent="0.3">
      <c r="A16" s="7" t="s">
        <v>23</v>
      </c>
      <c r="B16" s="7" t="s">
        <v>162</v>
      </c>
      <c r="C16" s="7" t="s">
        <v>167</v>
      </c>
      <c r="D16" s="7"/>
      <c r="E16" s="9">
        <v>59894</v>
      </c>
      <c r="F16" s="45">
        <v>42106</v>
      </c>
      <c r="G16" s="9">
        <v>2</v>
      </c>
      <c r="H16" t="s">
        <v>180</v>
      </c>
      <c r="I16" t="s">
        <v>194</v>
      </c>
      <c r="J16" s="9" t="str">
        <f>RIGHT(Table14[[#This Row],[Employee ID]],4)</f>
        <v>1014</v>
      </c>
      <c r="K16" t="str">
        <f>PROPER(Table14[[#This Row],[Name]])</f>
        <v>Jane Smith</v>
      </c>
      <c r="L16" t="str">
        <f>UPPER(Table14[[#This Row],[Country]])</f>
        <v/>
      </c>
      <c r="M16" t="str">
        <f>LOWER(Table14[[#This Row],[Country]])</f>
        <v/>
      </c>
    </row>
    <row r="17" spans="1:13" x14ac:dyDescent="0.3">
      <c r="A17" s="7" t="s">
        <v>24</v>
      </c>
      <c r="B17" s="7"/>
      <c r="C17" s="7" t="s">
        <v>169</v>
      </c>
      <c r="D17" s="7" t="s">
        <v>174</v>
      </c>
      <c r="E17" s="9">
        <v>92443</v>
      </c>
      <c r="F17" s="45">
        <v>42113</v>
      </c>
      <c r="G17" s="9">
        <v>3</v>
      </c>
      <c r="H17" t="s">
        <v>179</v>
      </c>
      <c r="I17" t="s">
        <v>195</v>
      </c>
      <c r="J17" s="9" t="str">
        <f>RIGHT(Table14[[#This Row],[Employee ID]],4)</f>
        <v>1015</v>
      </c>
      <c r="K17" t="str">
        <f>PROPER(Table14[[#This Row],[Name]])</f>
        <v/>
      </c>
      <c r="L17" t="str">
        <f>UPPER(Table14[[#This Row],[Country]])</f>
        <v>INDIA</v>
      </c>
      <c r="M17" t="str">
        <f>LOWER(Table14[[#This Row],[Country]])</f>
        <v>india</v>
      </c>
    </row>
    <row r="18" spans="1:13" x14ac:dyDescent="0.3">
      <c r="A18" s="7" t="s">
        <v>25</v>
      </c>
      <c r="B18" s="7" t="s">
        <v>165</v>
      </c>
      <c r="C18" s="7"/>
      <c r="D18" s="7" t="s">
        <v>172</v>
      </c>
      <c r="E18" s="9">
        <v>90271</v>
      </c>
      <c r="F18" s="45">
        <v>42120</v>
      </c>
      <c r="G18" s="9"/>
      <c r="I18" t="s">
        <v>196</v>
      </c>
      <c r="J18" s="9" t="str">
        <f>RIGHT(Table14[[#This Row],[Employee ID]],4)</f>
        <v>1016</v>
      </c>
      <c r="K18" t="str">
        <f>PROPER(Table14[[#This Row],[Name]])</f>
        <v>Bob Johnson</v>
      </c>
      <c r="L18" t="str">
        <f>UPPER(Table14[[#This Row],[Country]])</f>
        <v>GERMANY</v>
      </c>
      <c r="M18" t="str">
        <f>LOWER(Table14[[#This Row],[Country]])</f>
        <v>germany</v>
      </c>
    </row>
    <row r="19" spans="1:13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9">
        <v>41341</v>
      </c>
      <c r="F19" s="45">
        <v>42127</v>
      </c>
      <c r="G19" s="9">
        <v>1</v>
      </c>
      <c r="H19" t="s">
        <v>179</v>
      </c>
      <c r="I19" t="s">
        <v>197</v>
      </c>
      <c r="J19" s="9" t="str">
        <f>RIGHT(Table14[[#This Row],[Employee ID]],4)</f>
        <v>1017</v>
      </c>
      <c r="K19" t="str">
        <f>PROPER(Table14[[#This Row],[Name]])</f>
        <v>Jane Smith</v>
      </c>
      <c r="L19" t="str">
        <f>UPPER(Table14[[#This Row],[Country]])</f>
        <v>AUSTRALIA</v>
      </c>
      <c r="M19" t="str">
        <f>LOWER(Table14[[#This Row],[Country]])</f>
        <v>australia</v>
      </c>
    </row>
    <row r="20" spans="1:13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9">
        <v>73602</v>
      </c>
      <c r="F20" s="45">
        <v>42134</v>
      </c>
      <c r="G20" s="9"/>
      <c r="I20" t="s">
        <v>198</v>
      </c>
      <c r="J20" s="9" t="str">
        <f>RIGHT(Table14[[#This Row],[Employee ID]],4)</f>
        <v>1018</v>
      </c>
      <c r="K20" t="str">
        <f>PROPER(Table14[[#This Row],[Name]])</f>
        <v>Alice Brown</v>
      </c>
      <c r="L20" t="str">
        <f>UPPER(Table14[[#This Row],[Country]])</f>
        <v>UK</v>
      </c>
      <c r="M20" t="str">
        <f>LOWER(Table14[[#This Row],[Country]])</f>
        <v>uk</v>
      </c>
    </row>
    <row r="21" spans="1:13" x14ac:dyDescent="0.3">
      <c r="A21" s="7" t="s">
        <v>28</v>
      </c>
      <c r="B21" s="7" t="s">
        <v>159</v>
      </c>
      <c r="C21" s="7"/>
      <c r="D21" s="7" t="s">
        <v>174</v>
      </c>
      <c r="E21" s="9">
        <v>67531</v>
      </c>
      <c r="F21" s="45">
        <v>42141</v>
      </c>
      <c r="G21" s="9">
        <v>5</v>
      </c>
      <c r="H21" t="s">
        <v>181</v>
      </c>
      <c r="I21" t="s">
        <v>199</v>
      </c>
      <c r="J21" s="9" t="str">
        <f>RIGHT(Table14[[#This Row],[Employee ID]],4)</f>
        <v>1019</v>
      </c>
      <c r="K21" t="str">
        <f>PROPER(Table14[[#This Row],[Name]])</f>
        <v>Eve Adams</v>
      </c>
      <c r="L21" t="str">
        <f>UPPER(Table14[[#This Row],[Country]])</f>
        <v>INDIA</v>
      </c>
      <c r="M21" t="str">
        <f>LOWER(Table14[[#This Row],[Country]])</f>
        <v>india</v>
      </c>
    </row>
    <row r="22" spans="1:13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9" t="s">
        <v>177</v>
      </c>
      <c r="F22" s="45">
        <v>42148</v>
      </c>
      <c r="G22" s="9">
        <v>2</v>
      </c>
      <c r="H22" t="s">
        <v>179</v>
      </c>
      <c r="I22" t="s">
        <v>200</v>
      </c>
      <c r="J22" s="9" t="str">
        <f>RIGHT(Table14[[#This Row],[Employee ID]],4)</f>
        <v>1020</v>
      </c>
      <c r="K22" t="str">
        <f>PROPER(Table14[[#This Row],[Name]])</f>
        <v>Jane Smith</v>
      </c>
      <c r="L22" t="str">
        <f>UPPER(Table14[[#This Row],[Country]])</f>
        <v>USA</v>
      </c>
      <c r="M22" t="str">
        <f>LOWER(Table14[[#This Row],[Country]])</f>
        <v>usa</v>
      </c>
    </row>
    <row r="23" spans="1:13" x14ac:dyDescent="0.3">
      <c r="A23" s="7" t="s">
        <v>30</v>
      </c>
      <c r="B23" s="7" t="s">
        <v>162</v>
      </c>
      <c r="C23" s="7" t="s">
        <v>167</v>
      </c>
      <c r="D23" s="7"/>
      <c r="E23" s="9">
        <v>98922</v>
      </c>
      <c r="F23" s="45">
        <v>42155</v>
      </c>
      <c r="G23" s="9">
        <v>4</v>
      </c>
      <c r="I23" t="s">
        <v>201</v>
      </c>
      <c r="J23" s="9" t="str">
        <f>RIGHT(Table14[[#This Row],[Employee ID]],4)</f>
        <v>1021</v>
      </c>
      <c r="K23" t="str">
        <f>PROPER(Table14[[#This Row],[Name]])</f>
        <v>Jane Smith</v>
      </c>
      <c r="L23" t="str">
        <f>UPPER(Table14[[#This Row],[Country]])</f>
        <v/>
      </c>
      <c r="M23" t="str">
        <f>LOWER(Table14[[#This Row],[Country]])</f>
        <v/>
      </c>
    </row>
    <row r="24" spans="1:13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9">
        <v>38333</v>
      </c>
      <c r="F24" s="45">
        <v>42162</v>
      </c>
      <c r="G24" s="9">
        <v>5</v>
      </c>
      <c r="I24" t="s">
        <v>202</v>
      </c>
      <c r="J24" s="9" t="str">
        <f>RIGHT(Table14[[#This Row],[Employee ID]],4)</f>
        <v>1022</v>
      </c>
      <c r="K24" t="str">
        <f>PROPER(Table14[[#This Row],[Name]])</f>
        <v>Eve Adams</v>
      </c>
      <c r="L24" t="str">
        <f>UPPER(Table14[[#This Row],[Country]])</f>
        <v>INDIA</v>
      </c>
      <c r="M24" t="str">
        <f>LOWER(Table14[[#This Row],[Country]])</f>
        <v>india</v>
      </c>
    </row>
    <row r="25" spans="1:13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9">
        <v>36515</v>
      </c>
      <c r="F25" s="45">
        <v>42169</v>
      </c>
      <c r="G25" s="9">
        <v>3</v>
      </c>
      <c r="H25" t="s">
        <v>180</v>
      </c>
      <c r="I25" t="s">
        <v>203</v>
      </c>
      <c r="J25" s="9" t="str">
        <f>RIGHT(Table14[[#This Row],[Employee ID]],4)</f>
        <v>1023</v>
      </c>
      <c r="K25" t="str">
        <f>PROPER(Table14[[#This Row],[Name]])</f>
        <v>Alice Brown</v>
      </c>
      <c r="L25" t="str">
        <f>UPPER(Table14[[#This Row],[Country]])</f>
        <v>UK</v>
      </c>
      <c r="M25" t="str">
        <f>LOWER(Table14[[#This Row],[Country]])</f>
        <v>uk</v>
      </c>
    </row>
    <row r="26" spans="1:13" x14ac:dyDescent="0.3">
      <c r="A26" s="7" t="s">
        <v>33</v>
      </c>
      <c r="B26" s="7" t="s">
        <v>163</v>
      </c>
      <c r="C26" s="7" t="s">
        <v>166</v>
      </c>
      <c r="D26" s="7"/>
      <c r="E26" s="9">
        <v>91005</v>
      </c>
      <c r="F26" s="45">
        <v>42176</v>
      </c>
      <c r="G26" s="9">
        <v>1</v>
      </c>
      <c r="H26" t="s">
        <v>179</v>
      </c>
      <c r="I26" t="s">
        <v>204</v>
      </c>
      <c r="J26" s="9" t="str">
        <f>RIGHT(Table14[[#This Row],[Employee ID]],4)</f>
        <v>1024</v>
      </c>
      <c r="K26" t="str">
        <f>PROPER(Table14[[#This Row],[Name]])</f>
        <v>Sam Wilson</v>
      </c>
      <c r="L26" t="str">
        <f>UPPER(Table14[[#This Row],[Country]])</f>
        <v/>
      </c>
      <c r="M26" t="str">
        <f>LOWER(Table14[[#This Row],[Country]])</f>
        <v/>
      </c>
    </row>
    <row r="27" spans="1:13" x14ac:dyDescent="0.3">
      <c r="A27" s="7" t="s">
        <v>34</v>
      </c>
      <c r="B27" s="7" t="s">
        <v>164</v>
      </c>
      <c r="C27" s="7"/>
      <c r="D27" s="7" t="s">
        <v>171</v>
      </c>
      <c r="E27" s="9">
        <v>52272</v>
      </c>
      <c r="F27" s="45">
        <v>42183</v>
      </c>
      <c r="G27" s="9">
        <v>3</v>
      </c>
      <c r="I27" t="s">
        <v>205</v>
      </c>
      <c r="J27" s="9" t="str">
        <f>RIGHT(Table14[[#This Row],[Employee ID]],4)</f>
        <v>1025</v>
      </c>
      <c r="K27" t="str">
        <f>PROPER(Table14[[#This Row],[Name]])</f>
        <v>Chris Lee</v>
      </c>
      <c r="L27" t="str">
        <f>UPPER(Table14[[#This Row],[Country]])</f>
        <v xml:space="preserve"> </v>
      </c>
      <c r="M27" t="str">
        <f>LOWER(Table14[[#This Row],[Country]])</f>
        <v xml:space="preserve"> </v>
      </c>
    </row>
    <row r="28" spans="1:13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9">
        <v>76518</v>
      </c>
      <c r="F28" s="45">
        <v>42190</v>
      </c>
      <c r="G28" s="9">
        <v>2</v>
      </c>
      <c r="H28" t="s">
        <v>181</v>
      </c>
      <c r="I28" t="s">
        <v>206</v>
      </c>
      <c r="J28" s="9" t="str">
        <f>RIGHT(Table14[[#This Row],[Employee ID]],4)</f>
        <v>1026</v>
      </c>
      <c r="K28" t="str">
        <f>PROPER(Table14[[#This Row],[Name]])</f>
        <v>Eve Adams</v>
      </c>
      <c r="L28" t="str">
        <f>UPPER(Table14[[#This Row],[Country]])</f>
        <v>GERMANY</v>
      </c>
      <c r="M28" t="str">
        <f>LOWER(Table14[[#This Row],[Country]])</f>
        <v>germany</v>
      </c>
    </row>
    <row r="29" spans="1:13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9">
        <v>41448</v>
      </c>
      <c r="F29" s="45">
        <v>42197</v>
      </c>
      <c r="G29" s="9">
        <v>3</v>
      </c>
      <c r="H29" t="s">
        <v>179</v>
      </c>
      <c r="I29" t="s">
        <v>207</v>
      </c>
      <c r="J29" s="9" t="str">
        <f>RIGHT(Table14[[#This Row],[Employee ID]],4)</f>
        <v>1027</v>
      </c>
      <c r="K29" t="str">
        <f>PROPER(Table14[[#This Row],[Name]])</f>
        <v>Alice Brown</v>
      </c>
      <c r="L29" t="str">
        <f>UPPER(Table14[[#This Row],[Country]])</f>
        <v>UK</v>
      </c>
      <c r="M29" t="str">
        <f>LOWER(Table14[[#This Row],[Country]])</f>
        <v>uk</v>
      </c>
    </row>
    <row r="30" spans="1:13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9">
        <v>49282</v>
      </c>
      <c r="F30" s="45">
        <v>42204</v>
      </c>
      <c r="G30" s="9">
        <v>2</v>
      </c>
      <c r="H30" t="s">
        <v>181</v>
      </c>
      <c r="I30" t="s">
        <v>208</v>
      </c>
      <c r="J30" s="9" t="str">
        <f>RIGHT(Table14[[#This Row],[Employee ID]],4)</f>
        <v>1028</v>
      </c>
      <c r="K30" t="str">
        <f>PROPER(Table14[[#This Row],[Name]])</f>
        <v>John Doe</v>
      </c>
      <c r="L30" t="str">
        <f>UPPER(Table14[[#This Row],[Country]])</f>
        <v>UK</v>
      </c>
      <c r="M30" t="str">
        <f>LOWER(Table14[[#This Row],[Country]])</f>
        <v>uk</v>
      </c>
    </row>
    <row r="31" spans="1:13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9">
        <v>92959</v>
      </c>
      <c r="F31" s="45">
        <v>42211</v>
      </c>
      <c r="G31" s="9">
        <v>5</v>
      </c>
      <c r="I31" t="s">
        <v>209</v>
      </c>
      <c r="J31" s="9" t="str">
        <f>RIGHT(Table14[[#This Row],[Employee ID]],4)</f>
        <v>1029</v>
      </c>
      <c r="K31" t="str">
        <f>PROPER(Table14[[#This Row],[Name]])</f>
        <v>Bob Johnson</v>
      </c>
      <c r="L31" t="str">
        <f>UPPER(Table14[[#This Row],[Country]])</f>
        <v>UK</v>
      </c>
      <c r="M31" t="str">
        <f>LOWER(Table14[[#This Row],[Country]])</f>
        <v>uk</v>
      </c>
    </row>
    <row r="32" spans="1:13" x14ac:dyDescent="0.3">
      <c r="A32" s="7" t="s">
        <v>39</v>
      </c>
      <c r="B32" s="7"/>
      <c r="C32" s="7" t="s">
        <v>170</v>
      </c>
      <c r="D32" s="7"/>
      <c r="E32" s="9">
        <v>92259</v>
      </c>
      <c r="F32" s="45"/>
      <c r="G32" s="9">
        <v>1</v>
      </c>
      <c r="H32" t="s">
        <v>178</v>
      </c>
      <c r="I32" t="s">
        <v>210</v>
      </c>
      <c r="J32" s="9" t="str">
        <f>RIGHT(Table14[[#This Row],[Employee ID]],4)</f>
        <v>1030</v>
      </c>
      <c r="K32" t="str">
        <f>PROPER(Table14[[#This Row],[Name]])</f>
        <v/>
      </c>
      <c r="L32" t="str">
        <f>UPPER(Table14[[#This Row],[Country]])</f>
        <v/>
      </c>
      <c r="M32" t="str">
        <f>LOWER(Table14[[#This Row],[Country]])</f>
        <v/>
      </c>
    </row>
    <row r="33" spans="1:13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9">
        <v>92299</v>
      </c>
      <c r="F33" s="45">
        <v>42225</v>
      </c>
      <c r="G33" s="9">
        <v>3</v>
      </c>
      <c r="H33" t="s">
        <v>180</v>
      </c>
      <c r="I33" t="s">
        <v>211</v>
      </c>
      <c r="J33" s="9" t="str">
        <f>RIGHT(Table14[[#This Row],[Employee ID]],4)</f>
        <v>1031</v>
      </c>
      <c r="K33" t="str">
        <f>PROPER(Table14[[#This Row],[Name]])</f>
        <v>Eve Adams</v>
      </c>
      <c r="L33" t="str">
        <f>UPPER(Table14[[#This Row],[Country]])</f>
        <v>GERMANY</v>
      </c>
      <c r="M33" t="str">
        <f>LOWER(Table14[[#This Row],[Country]])</f>
        <v>germany</v>
      </c>
    </row>
    <row r="34" spans="1:13" x14ac:dyDescent="0.3">
      <c r="A34" s="7" t="s">
        <v>41</v>
      </c>
      <c r="B34" s="7" t="s">
        <v>163</v>
      </c>
      <c r="C34" s="7" t="s">
        <v>167</v>
      </c>
      <c r="D34" s="7"/>
      <c r="E34" s="9">
        <v>95586</v>
      </c>
      <c r="F34" s="45">
        <v>42232</v>
      </c>
      <c r="G34" s="9">
        <v>3</v>
      </c>
      <c r="H34" t="s">
        <v>179</v>
      </c>
      <c r="I34" t="s">
        <v>212</v>
      </c>
      <c r="J34" s="9" t="str">
        <f>RIGHT(Table14[[#This Row],[Employee ID]],4)</f>
        <v>1032</v>
      </c>
      <c r="K34" t="str">
        <f>PROPER(Table14[[#This Row],[Name]])</f>
        <v>Sam Wilson</v>
      </c>
      <c r="L34" t="str">
        <f>UPPER(Table14[[#This Row],[Country]])</f>
        <v/>
      </c>
      <c r="M34" t="str">
        <f>LOWER(Table14[[#This Row],[Country]])</f>
        <v/>
      </c>
    </row>
    <row r="35" spans="1:13" x14ac:dyDescent="0.3">
      <c r="A35" s="7" t="s">
        <v>42</v>
      </c>
      <c r="B35" s="7" t="s">
        <v>164</v>
      </c>
      <c r="C35" s="7"/>
      <c r="D35" s="7" t="s">
        <v>173</v>
      </c>
      <c r="E35" s="9">
        <v>95367</v>
      </c>
      <c r="F35" s="45">
        <v>42239</v>
      </c>
      <c r="G35" s="9"/>
      <c r="H35" t="s">
        <v>180</v>
      </c>
      <c r="I35" t="s">
        <v>213</v>
      </c>
      <c r="J35" s="9" t="str">
        <f>RIGHT(Table14[[#This Row],[Employee ID]],4)</f>
        <v>1033</v>
      </c>
      <c r="K35" t="str">
        <f>PROPER(Table14[[#This Row],[Name]])</f>
        <v>Chris Lee</v>
      </c>
      <c r="L35" t="str">
        <f>UPPER(Table14[[#This Row],[Country]])</f>
        <v>USA</v>
      </c>
      <c r="M35" t="str">
        <f>LOWER(Table14[[#This Row],[Country]])</f>
        <v>usa</v>
      </c>
    </row>
    <row r="36" spans="1:13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9">
        <v>79549</v>
      </c>
      <c r="F36" s="45">
        <v>42246</v>
      </c>
      <c r="G36" s="9">
        <v>3</v>
      </c>
      <c r="I36" t="s">
        <v>214</v>
      </c>
      <c r="J36" s="9" t="str">
        <f>RIGHT(Table14[[#This Row],[Employee ID]],4)</f>
        <v>1034</v>
      </c>
      <c r="K36" t="str">
        <f>PROPER(Table14[[#This Row],[Name]])</f>
        <v>John Doe</v>
      </c>
      <c r="L36" t="str">
        <f>UPPER(Table14[[#This Row],[Country]])</f>
        <v>AUSTRALIA</v>
      </c>
      <c r="M36" t="str">
        <f>LOWER(Table14[[#This Row],[Country]])</f>
        <v>australia</v>
      </c>
    </row>
    <row r="37" spans="1:13" x14ac:dyDescent="0.3">
      <c r="A37" s="7" t="s">
        <v>44</v>
      </c>
      <c r="B37" s="7" t="s">
        <v>160</v>
      </c>
      <c r="C37" s="7"/>
      <c r="D37" s="7" t="s">
        <v>175</v>
      </c>
      <c r="E37" s="9">
        <v>54463</v>
      </c>
      <c r="F37" s="45">
        <v>42253</v>
      </c>
      <c r="G37" s="9">
        <v>4</v>
      </c>
      <c r="H37" t="s">
        <v>180</v>
      </c>
      <c r="I37" t="s">
        <v>182</v>
      </c>
      <c r="J37" s="9" t="str">
        <f>RIGHT(Table14[[#This Row],[Employee ID]],4)</f>
        <v>1035</v>
      </c>
      <c r="K37" t="str">
        <f>PROPER(Table14[[#This Row],[Name]])</f>
        <v>Alice Brown</v>
      </c>
      <c r="L37" t="str">
        <f>UPPER(Table14[[#This Row],[Country]])</f>
        <v>UK</v>
      </c>
      <c r="M37" t="str">
        <f>LOWER(Table14[[#This Row],[Country]])</f>
        <v>uk</v>
      </c>
    </row>
    <row r="38" spans="1:13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9">
        <v>89781</v>
      </c>
      <c r="F38" s="45">
        <v>42260</v>
      </c>
      <c r="G38" s="9"/>
      <c r="H38" t="s">
        <v>181</v>
      </c>
      <c r="I38" t="s">
        <v>215</v>
      </c>
      <c r="J38" s="9" t="str">
        <f>RIGHT(Table14[[#This Row],[Employee ID]],4)</f>
        <v>1036</v>
      </c>
      <c r="K38" t="str">
        <f>PROPER(Table14[[#This Row],[Name]])</f>
        <v>Alice Brown</v>
      </c>
      <c r="L38" t="str">
        <f>UPPER(Table14[[#This Row],[Country]])</f>
        <v>USA</v>
      </c>
      <c r="M38" t="str">
        <f>LOWER(Table14[[#This Row],[Country]])</f>
        <v>usa</v>
      </c>
    </row>
    <row r="39" spans="1:13" x14ac:dyDescent="0.3">
      <c r="A39" s="7" t="s">
        <v>46</v>
      </c>
      <c r="B39" s="7" t="s">
        <v>160</v>
      </c>
      <c r="C39" s="7" t="s">
        <v>167</v>
      </c>
      <c r="D39" s="7"/>
      <c r="E39" s="9">
        <v>64796</v>
      </c>
      <c r="F39" s="45">
        <v>42267</v>
      </c>
      <c r="G39" s="9"/>
      <c r="H39" t="s">
        <v>179</v>
      </c>
      <c r="I39" t="s">
        <v>216</v>
      </c>
      <c r="J39" s="9" t="str">
        <f>RIGHT(Table14[[#This Row],[Employee ID]],4)</f>
        <v>1037</v>
      </c>
      <c r="K39" t="str">
        <f>PROPER(Table14[[#This Row],[Name]])</f>
        <v>Alice Brown</v>
      </c>
      <c r="L39" t="str">
        <f>UPPER(Table14[[#This Row],[Country]])</f>
        <v/>
      </c>
      <c r="M39" t="str">
        <f>LOWER(Table14[[#This Row],[Country]])</f>
        <v/>
      </c>
    </row>
    <row r="40" spans="1:13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9">
        <v>52093</v>
      </c>
      <c r="F40" s="45">
        <v>42274</v>
      </c>
      <c r="G40" s="9">
        <v>5</v>
      </c>
      <c r="I40" t="s">
        <v>217</v>
      </c>
      <c r="J40" s="9" t="str">
        <f>RIGHT(Table14[[#This Row],[Employee ID]],4)</f>
        <v>1038</v>
      </c>
      <c r="K40" t="str">
        <f>PROPER(Table14[[#This Row],[Name]])</f>
        <v>John Doe</v>
      </c>
      <c r="L40" t="str">
        <f>UPPER(Table14[[#This Row],[Country]])</f>
        <v>UK</v>
      </c>
      <c r="M40" t="str">
        <f>LOWER(Table14[[#This Row],[Country]])</f>
        <v>uk</v>
      </c>
    </row>
    <row r="41" spans="1:13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9">
        <v>48224</v>
      </c>
      <c r="F41" s="45">
        <v>42281</v>
      </c>
      <c r="G41" s="9">
        <v>3</v>
      </c>
      <c r="I41" t="s">
        <v>218</v>
      </c>
      <c r="J41" s="9" t="str">
        <f>RIGHT(Table14[[#This Row],[Employee ID]],4)</f>
        <v>1039</v>
      </c>
      <c r="K41" t="str">
        <f>PROPER(Table14[[#This Row],[Name]])</f>
        <v>Chris Lee</v>
      </c>
      <c r="L41" t="str">
        <f>UPPER(Table14[[#This Row],[Country]])</f>
        <v>UK</v>
      </c>
      <c r="M41" t="str">
        <f>LOWER(Table14[[#This Row],[Country]])</f>
        <v>uk</v>
      </c>
    </row>
    <row r="42" spans="1:13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9" t="s">
        <v>177</v>
      </c>
      <c r="F42" s="45"/>
      <c r="G42" s="9">
        <v>4</v>
      </c>
      <c r="H42" t="s">
        <v>181</v>
      </c>
      <c r="I42" t="s">
        <v>219</v>
      </c>
      <c r="J42" s="9" t="str">
        <f>RIGHT(Table14[[#This Row],[Employee ID]],4)</f>
        <v>1040</v>
      </c>
      <c r="K42" t="str">
        <f>PROPER(Table14[[#This Row],[Name]])</f>
        <v>Bob Johnson</v>
      </c>
      <c r="L42" t="str">
        <f>UPPER(Table14[[#This Row],[Country]])</f>
        <v>UK</v>
      </c>
      <c r="M42" t="str">
        <f>LOWER(Table14[[#This Row],[Country]])</f>
        <v>uk</v>
      </c>
    </row>
    <row r="43" spans="1:13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9">
        <v>33956</v>
      </c>
      <c r="F43" s="45">
        <v>42295</v>
      </c>
      <c r="G43" s="9"/>
      <c r="I43" t="s">
        <v>220</v>
      </c>
      <c r="J43" s="9" t="str">
        <f>RIGHT(Table14[[#This Row],[Employee ID]],4)</f>
        <v>1041</v>
      </c>
      <c r="K43" t="str">
        <f>PROPER(Table14[[#This Row],[Name]])</f>
        <v>Alice Brown</v>
      </c>
      <c r="L43" t="str">
        <f>UPPER(Table14[[#This Row],[Country]])</f>
        <v>GERMANY</v>
      </c>
      <c r="M43" t="str">
        <f>LOWER(Table14[[#This Row],[Country]])</f>
        <v>germany</v>
      </c>
    </row>
    <row r="44" spans="1:13" x14ac:dyDescent="0.3">
      <c r="A44" s="7" t="s">
        <v>51</v>
      </c>
      <c r="B44" s="7" t="s">
        <v>165</v>
      </c>
      <c r="C44" s="7"/>
      <c r="D44" s="7" t="s">
        <v>176</v>
      </c>
      <c r="E44" s="9">
        <v>64913</v>
      </c>
      <c r="F44" s="45">
        <v>42302</v>
      </c>
      <c r="G44" s="9">
        <v>1</v>
      </c>
      <c r="H44" s="7" t="s">
        <v>181</v>
      </c>
      <c r="I44" s="7" t="s">
        <v>221</v>
      </c>
      <c r="J44" s="9" t="str">
        <f>RIGHT(Table14[[#This Row],[Employee ID]],4)</f>
        <v>1042</v>
      </c>
      <c r="K44" t="str">
        <f>PROPER(Table14[[#This Row],[Name]])</f>
        <v>Bob Johnson</v>
      </c>
      <c r="L44" t="str">
        <f>UPPER(Table14[[#This Row],[Country]])</f>
        <v>AUSTRALIA</v>
      </c>
      <c r="M44" t="str">
        <f>LOWER(Table14[[#This Row],[Country]])</f>
        <v>australia</v>
      </c>
    </row>
    <row r="45" spans="1:13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9">
        <v>35326</v>
      </c>
      <c r="F45" s="45">
        <v>42309</v>
      </c>
      <c r="G45" s="9"/>
      <c r="H45" s="7" t="s">
        <v>181</v>
      </c>
      <c r="I45" s="7" t="s">
        <v>222</v>
      </c>
      <c r="J45" s="9" t="str">
        <f>RIGHT(Table14[[#This Row],[Employee ID]],4)</f>
        <v>1043</v>
      </c>
      <c r="K45" t="str">
        <f>PROPER(Table14[[#This Row],[Name]])</f>
        <v>Alice Brown</v>
      </c>
      <c r="L45" t="str">
        <f>UPPER(Table14[[#This Row],[Country]])</f>
        <v>AUSTRALIA</v>
      </c>
      <c r="M45" t="str">
        <f>LOWER(Table14[[#This Row],[Country]])</f>
        <v>australia</v>
      </c>
    </row>
    <row r="46" spans="1:13" x14ac:dyDescent="0.3">
      <c r="A46" s="7" t="s">
        <v>53</v>
      </c>
      <c r="B46" s="7" t="s">
        <v>164</v>
      </c>
      <c r="C46" s="7" t="s">
        <v>166</v>
      </c>
      <c r="D46" s="7"/>
      <c r="E46" s="9">
        <v>81610</v>
      </c>
      <c r="F46" s="45">
        <v>42316</v>
      </c>
      <c r="G46" s="9">
        <v>1</v>
      </c>
      <c r="H46" s="7"/>
      <c r="I46" s="7" t="s">
        <v>223</v>
      </c>
      <c r="J46" s="9" t="str">
        <f>RIGHT(Table14[[#This Row],[Employee ID]],4)</f>
        <v>1044</v>
      </c>
      <c r="K46" t="str">
        <f>PROPER(Table14[[#This Row],[Name]])</f>
        <v>Chris Lee</v>
      </c>
      <c r="L46" t="str">
        <f>UPPER(Table14[[#This Row],[Country]])</f>
        <v/>
      </c>
      <c r="M46" t="str">
        <f>LOWER(Table14[[#This Row],[Country]])</f>
        <v/>
      </c>
    </row>
    <row r="47" spans="1:13" x14ac:dyDescent="0.3">
      <c r="A47" s="7" t="s">
        <v>54</v>
      </c>
      <c r="B47" s="7"/>
      <c r="C47" s="7" t="s">
        <v>167</v>
      </c>
      <c r="D47" s="7"/>
      <c r="E47" s="9">
        <v>58962</v>
      </c>
      <c r="F47" s="45">
        <v>42323</v>
      </c>
      <c r="G47" s="9">
        <v>3</v>
      </c>
      <c r="H47" s="7" t="s">
        <v>179</v>
      </c>
      <c r="I47" s="7" t="s">
        <v>183</v>
      </c>
      <c r="J47" s="9" t="str">
        <f>RIGHT(Table14[[#This Row],[Employee ID]],4)</f>
        <v>1045</v>
      </c>
      <c r="K47" t="str">
        <f>PROPER(Table14[[#This Row],[Name]])</f>
        <v/>
      </c>
      <c r="L47" t="str">
        <f>UPPER(Table14[[#This Row],[Country]])</f>
        <v/>
      </c>
      <c r="M47" t="str">
        <f>LOWER(Table14[[#This Row],[Country]])</f>
        <v/>
      </c>
    </row>
    <row r="48" spans="1:13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9">
        <v>92701</v>
      </c>
      <c r="F48" s="45">
        <v>42330</v>
      </c>
      <c r="G48" s="9">
        <v>3</v>
      </c>
      <c r="H48" s="7" t="s">
        <v>179</v>
      </c>
      <c r="I48" s="7" t="s">
        <v>224</v>
      </c>
      <c r="J48" s="9" t="str">
        <f>RIGHT(Table14[[#This Row],[Employee ID]],4)</f>
        <v>1046</v>
      </c>
      <c r="K48" t="str">
        <f>PROPER(Table14[[#This Row],[Name]])</f>
        <v>Chris Lee</v>
      </c>
      <c r="L48" t="str">
        <f>UPPER(Table14[[#This Row],[Country]])</f>
        <v>GERMANY</v>
      </c>
      <c r="M48" t="str">
        <f>LOWER(Table14[[#This Row],[Country]])</f>
        <v>germany</v>
      </c>
    </row>
    <row r="49" spans="1:13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9">
        <v>58245</v>
      </c>
      <c r="F49" s="45">
        <v>42337</v>
      </c>
      <c r="G49" s="9">
        <v>4</v>
      </c>
      <c r="H49" s="7"/>
      <c r="I49" s="7" t="s">
        <v>225</v>
      </c>
      <c r="J49" s="9" t="str">
        <f>RIGHT(Table14[[#This Row],[Employee ID]],4)</f>
        <v>1047</v>
      </c>
      <c r="K49" t="str">
        <f>PROPER(Table14[[#This Row],[Name]])</f>
        <v>Chris Lee</v>
      </c>
      <c r="L49" t="str">
        <f>UPPER(Table14[[#This Row],[Country]])</f>
        <v>INDIA</v>
      </c>
      <c r="M49" t="str">
        <f>LOWER(Table14[[#This Row],[Country]])</f>
        <v>india</v>
      </c>
    </row>
    <row r="50" spans="1:13" x14ac:dyDescent="0.3">
      <c r="A50" s="7" t="s">
        <v>57</v>
      </c>
      <c r="B50" s="7" t="s">
        <v>161</v>
      </c>
      <c r="C50" s="7" t="s">
        <v>166</v>
      </c>
      <c r="D50" s="7"/>
      <c r="E50" s="9">
        <v>66513</v>
      </c>
      <c r="F50" s="45">
        <v>42344</v>
      </c>
      <c r="G50" s="9">
        <v>2</v>
      </c>
      <c r="H50" s="7" t="s">
        <v>179</v>
      </c>
      <c r="I50" s="7" t="s">
        <v>187</v>
      </c>
      <c r="J50" s="9" t="str">
        <f>RIGHT(Table14[[#This Row],[Employee ID]],4)</f>
        <v>1048</v>
      </c>
      <c r="K50" t="str">
        <f>PROPER(Table14[[#This Row],[Name]])</f>
        <v>John Doe</v>
      </c>
      <c r="L50" t="str">
        <f>UPPER(Table14[[#This Row],[Country]])</f>
        <v/>
      </c>
      <c r="M50" t="str">
        <f>LOWER(Table14[[#This Row],[Country]])</f>
        <v/>
      </c>
    </row>
    <row r="51" spans="1:13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9">
        <v>78720</v>
      </c>
      <c r="F51" s="45">
        <v>42351</v>
      </c>
      <c r="G51" s="9">
        <v>5</v>
      </c>
      <c r="H51" s="7" t="s">
        <v>181</v>
      </c>
      <c r="I51" s="7" t="s">
        <v>219</v>
      </c>
      <c r="J51" s="9" t="str">
        <f>RIGHT(Table14[[#This Row],[Employee ID]],4)</f>
        <v>1049</v>
      </c>
      <c r="K51" t="str">
        <f>PROPER(Table14[[#This Row],[Name]])</f>
        <v>Eve Adams</v>
      </c>
      <c r="L51" t="str">
        <f>UPPER(Table14[[#This Row],[Country]])</f>
        <v>GERMANY</v>
      </c>
      <c r="M51" t="str">
        <f>LOWER(Table14[[#This Row],[Country]])</f>
        <v>germany</v>
      </c>
    </row>
    <row r="52" spans="1:13" x14ac:dyDescent="0.3">
      <c r="A52" s="7" t="s">
        <v>59</v>
      </c>
      <c r="B52" s="7" t="s">
        <v>164</v>
      </c>
      <c r="C52" s="7"/>
      <c r="D52" s="7" t="s">
        <v>171</v>
      </c>
      <c r="E52" s="9">
        <v>30686</v>
      </c>
      <c r="F52" s="45"/>
      <c r="G52" s="9">
        <v>2</v>
      </c>
      <c r="H52" s="7" t="s">
        <v>181</v>
      </c>
      <c r="I52" s="7" t="s">
        <v>226</v>
      </c>
      <c r="J52" s="9" t="str">
        <f>RIGHT(Table14[[#This Row],[Employee ID]],4)</f>
        <v>1050</v>
      </c>
      <c r="K52" t="str">
        <f>PROPER(Table14[[#This Row],[Name]])</f>
        <v>Chris Lee</v>
      </c>
      <c r="L52" t="str">
        <f>UPPER(Table14[[#This Row],[Country]])</f>
        <v xml:space="preserve"> </v>
      </c>
      <c r="M52" t="str">
        <f>LOWER(Table14[[#This Row],[Country]])</f>
        <v xml:space="preserve"> </v>
      </c>
    </row>
    <row r="53" spans="1:13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9">
        <v>39423</v>
      </c>
      <c r="F53" s="45">
        <v>42365</v>
      </c>
      <c r="G53" s="9">
        <v>5</v>
      </c>
      <c r="H53" s="7"/>
      <c r="I53" s="7" t="s">
        <v>227</v>
      </c>
      <c r="J53" s="9" t="str">
        <f>RIGHT(Table14[[#This Row],[Employee ID]],4)</f>
        <v>1051</v>
      </c>
      <c r="K53" t="str">
        <f>PROPER(Table14[[#This Row],[Name]])</f>
        <v>Sam Wilson</v>
      </c>
      <c r="L53" t="str">
        <f>UPPER(Table14[[#This Row],[Country]])</f>
        <v>INDIA</v>
      </c>
      <c r="M53" t="str">
        <f>LOWER(Table14[[#This Row],[Country]])</f>
        <v>india</v>
      </c>
    </row>
    <row r="54" spans="1:13" x14ac:dyDescent="0.3">
      <c r="A54" s="7" t="s">
        <v>61</v>
      </c>
      <c r="B54" s="7" t="s">
        <v>159</v>
      </c>
      <c r="C54" s="7" t="s">
        <v>170</v>
      </c>
      <c r="D54" s="7"/>
      <c r="E54" s="9">
        <v>30280</v>
      </c>
      <c r="F54" s="45">
        <v>42372</v>
      </c>
      <c r="G54" s="9">
        <v>1</v>
      </c>
      <c r="H54" s="7"/>
      <c r="I54" s="7" t="s">
        <v>228</v>
      </c>
      <c r="J54" s="9" t="str">
        <f>RIGHT(Table14[[#This Row],[Employee ID]],4)</f>
        <v>1052</v>
      </c>
      <c r="K54" t="str">
        <f>PROPER(Table14[[#This Row],[Name]])</f>
        <v>Eve Adams</v>
      </c>
      <c r="L54" t="str">
        <f>UPPER(Table14[[#This Row],[Country]])</f>
        <v/>
      </c>
      <c r="M54" t="str">
        <f>LOWER(Table14[[#This Row],[Country]])</f>
        <v/>
      </c>
    </row>
    <row r="55" spans="1:13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9">
        <v>33352</v>
      </c>
      <c r="F55" s="45">
        <v>42379</v>
      </c>
      <c r="G55" s="9">
        <v>3</v>
      </c>
      <c r="H55" s="7" t="s">
        <v>181</v>
      </c>
      <c r="I55" s="7" t="s">
        <v>200</v>
      </c>
      <c r="J55" s="9" t="str">
        <f>RIGHT(Table14[[#This Row],[Employee ID]],4)</f>
        <v>1053</v>
      </c>
      <c r="K55" t="str">
        <f>PROPER(Table14[[#This Row],[Name]])</f>
        <v>Eve Adams</v>
      </c>
      <c r="L55" t="str">
        <f>UPPER(Table14[[#This Row],[Country]])</f>
        <v>UK</v>
      </c>
      <c r="M55" t="str">
        <f>LOWER(Table14[[#This Row],[Country]])</f>
        <v>uk</v>
      </c>
    </row>
    <row r="56" spans="1:13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9">
        <v>75633</v>
      </c>
      <c r="F56" s="45">
        <v>42386</v>
      </c>
      <c r="G56" s="9">
        <v>5</v>
      </c>
      <c r="H56" s="7" t="s">
        <v>179</v>
      </c>
      <c r="I56" s="7" t="s">
        <v>229</v>
      </c>
      <c r="J56" s="9" t="str">
        <f>RIGHT(Table14[[#This Row],[Employee ID]],4)</f>
        <v>1054</v>
      </c>
      <c r="K56" t="str">
        <f>PROPER(Table14[[#This Row],[Name]])</f>
        <v>Bob Johnson</v>
      </c>
      <c r="L56" t="str">
        <f>UPPER(Table14[[#This Row],[Country]])</f>
        <v>UK</v>
      </c>
      <c r="M56" t="str">
        <f>LOWER(Table14[[#This Row],[Country]])</f>
        <v>uk</v>
      </c>
    </row>
    <row r="57" spans="1:13" x14ac:dyDescent="0.3">
      <c r="A57" s="7" t="s">
        <v>64</v>
      </c>
      <c r="B57" s="7" t="s">
        <v>164</v>
      </c>
      <c r="C57" s="7"/>
      <c r="D57" s="7" t="s">
        <v>173</v>
      </c>
      <c r="E57" s="9">
        <v>74815</v>
      </c>
      <c r="F57" s="45">
        <v>42393</v>
      </c>
      <c r="G57" s="9">
        <v>5</v>
      </c>
      <c r="H57" s="7" t="s">
        <v>181</v>
      </c>
      <c r="I57" s="7" t="s">
        <v>230</v>
      </c>
      <c r="J57" s="9" t="str">
        <f>RIGHT(Table14[[#This Row],[Employee ID]],4)</f>
        <v>1055</v>
      </c>
      <c r="K57" t="str">
        <f>PROPER(Table14[[#This Row],[Name]])</f>
        <v>Chris Lee</v>
      </c>
      <c r="L57" t="str">
        <f>UPPER(Table14[[#This Row],[Country]])</f>
        <v>USA</v>
      </c>
      <c r="M57" t="str">
        <f>LOWER(Table14[[#This Row],[Country]])</f>
        <v>usa</v>
      </c>
    </row>
    <row r="58" spans="1:13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9">
        <v>60011</v>
      </c>
      <c r="F58" s="45">
        <v>42400</v>
      </c>
      <c r="G58" s="9">
        <v>1</v>
      </c>
      <c r="H58" s="7" t="s">
        <v>180</v>
      </c>
      <c r="I58" s="7" t="s">
        <v>231</v>
      </c>
      <c r="J58" s="9" t="str">
        <f>RIGHT(Table14[[#This Row],[Employee ID]],4)</f>
        <v>1056</v>
      </c>
      <c r="K58" t="str">
        <f>PROPER(Table14[[#This Row],[Name]])</f>
        <v>John Doe</v>
      </c>
      <c r="L58" t="str">
        <f>UPPER(Table14[[#This Row],[Country]])</f>
        <v>AUSTRALIA</v>
      </c>
      <c r="M58" t="str">
        <f>LOWER(Table14[[#This Row],[Country]])</f>
        <v>australia</v>
      </c>
    </row>
    <row r="59" spans="1:13" x14ac:dyDescent="0.3">
      <c r="A59" s="7" t="s">
        <v>66</v>
      </c>
      <c r="B59" s="7" t="s">
        <v>159</v>
      </c>
      <c r="C59" s="7"/>
      <c r="D59" s="7" t="s">
        <v>174</v>
      </c>
      <c r="E59" s="9">
        <v>96949</v>
      </c>
      <c r="F59" s="45">
        <v>42407</v>
      </c>
      <c r="G59" s="9">
        <v>3</v>
      </c>
      <c r="H59" s="7"/>
      <c r="I59" s="7" t="s">
        <v>207</v>
      </c>
      <c r="J59" s="9" t="str">
        <f>RIGHT(Table14[[#This Row],[Employee ID]],4)</f>
        <v>1057</v>
      </c>
      <c r="K59" t="str">
        <f>PROPER(Table14[[#This Row],[Name]])</f>
        <v>Eve Adams</v>
      </c>
      <c r="L59" t="str">
        <f>UPPER(Table14[[#This Row],[Country]])</f>
        <v>INDIA</v>
      </c>
      <c r="M59" t="str">
        <f>LOWER(Table14[[#This Row],[Country]])</f>
        <v>india</v>
      </c>
    </row>
    <row r="60" spans="1:13" x14ac:dyDescent="0.3">
      <c r="A60" s="7" t="s">
        <v>67</v>
      </c>
      <c r="B60" s="7" t="s">
        <v>163</v>
      </c>
      <c r="C60" s="7" t="s">
        <v>170</v>
      </c>
      <c r="D60" s="7"/>
      <c r="E60" s="9">
        <v>84924</v>
      </c>
      <c r="F60" s="45">
        <v>42414</v>
      </c>
      <c r="G60" s="9">
        <v>5</v>
      </c>
      <c r="H60" s="7" t="s">
        <v>180</v>
      </c>
      <c r="I60" s="7" t="s">
        <v>232</v>
      </c>
      <c r="J60" s="9" t="str">
        <f>RIGHT(Table14[[#This Row],[Employee ID]],4)</f>
        <v>1058</v>
      </c>
      <c r="K60" t="str">
        <f>PROPER(Table14[[#This Row],[Name]])</f>
        <v>Sam Wilson</v>
      </c>
      <c r="L60" t="str">
        <f>UPPER(Table14[[#This Row],[Country]])</f>
        <v/>
      </c>
      <c r="M60" t="str">
        <f>LOWER(Table14[[#This Row],[Country]])</f>
        <v/>
      </c>
    </row>
    <row r="61" spans="1:13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9">
        <v>82033</v>
      </c>
      <c r="F61" s="45">
        <v>42421</v>
      </c>
      <c r="G61" s="9">
        <v>1</v>
      </c>
      <c r="H61" s="7"/>
      <c r="I61" s="7" t="s">
        <v>223</v>
      </c>
      <c r="J61" s="9" t="str">
        <f>RIGHT(Table14[[#This Row],[Employee ID]],4)</f>
        <v>1059</v>
      </c>
      <c r="K61" t="str">
        <f>PROPER(Table14[[#This Row],[Name]])</f>
        <v>Sam Wilson</v>
      </c>
      <c r="L61" t="str">
        <f>UPPER(Table14[[#This Row],[Country]])</f>
        <v>USA</v>
      </c>
      <c r="M61" t="str">
        <f>LOWER(Table14[[#This Row],[Country]])</f>
        <v>usa</v>
      </c>
    </row>
    <row r="62" spans="1:13" x14ac:dyDescent="0.3">
      <c r="A62" s="7" t="s">
        <v>69</v>
      </c>
      <c r="B62" s="7"/>
      <c r="C62" s="7" t="s">
        <v>170</v>
      </c>
      <c r="D62" s="7" t="s">
        <v>172</v>
      </c>
      <c r="E62" s="9" t="s">
        <v>177</v>
      </c>
      <c r="F62" s="45"/>
      <c r="G62" s="9">
        <v>5</v>
      </c>
      <c r="H62" s="7" t="s">
        <v>178</v>
      </c>
      <c r="I62" s="7" t="s">
        <v>233</v>
      </c>
      <c r="J62" s="9" t="str">
        <f>RIGHT(Table14[[#This Row],[Employee ID]],4)</f>
        <v>1060</v>
      </c>
      <c r="K62" t="str">
        <f>PROPER(Table14[[#This Row],[Name]])</f>
        <v/>
      </c>
      <c r="L62" t="str">
        <f>UPPER(Table14[[#This Row],[Country]])</f>
        <v>GERMANY</v>
      </c>
      <c r="M62" t="str">
        <f>LOWER(Table14[[#This Row],[Country]])</f>
        <v>germany</v>
      </c>
    </row>
    <row r="63" spans="1:13" x14ac:dyDescent="0.3">
      <c r="A63" s="7" t="s">
        <v>70</v>
      </c>
      <c r="B63" s="7" t="s">
        <v>159</v>
      </c>
      <c r="C63" s="7"/>
      <c r="D63" s="7" t="s">
        <v>176</v>
      </c>
      <c r="E63" s="9">
        <v>31499</v>
      </c>
      <c r="F63" s="45">
        <v>42435</v>
      </c>
      <c r="G63" s="9">
        <v>2</v>
      </c>
      <c r="H63" s="7"/>
      <c r="I63" s="7" t="s">
        <v>215</v>
      </c>
      <c r="J63" s="9" t="str">
        <f>RIGHT(Table14[[#This Row],[Employee ID]],4)</f>
        <v>1061</v>
      </c>
      <c r="K63" t="str">
        <f>PROPER(Table14[[#This Row],[Name]])</f>
        <v>Eve Adams</v>
      </c>
      <c r="L63" t="str">
        <f>UPPER(Table14[[#This Row],[Country]])</f>
        <v>AUSTRALIA</v>
      </c>
      <c r="M63" t="str">
        <f>LOWER(Table14[[#This Row],[Country]])</f>
        <v>australia</v>
      </c>
    </row>
    <row r="64" spans="1:13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9">
        <v>97981</v>
      </c>
      <c r="F64" s="45">
        <v>42442</v>
      </c>
      <c r="G64" s="9">
        <v>5</v>
      </c>
      <c r="H64" s="7" t="s">
        <v>181</v>
      </c>
      <c r="I64" s="7" t="s">
        <v>234</v>
      </c>
      <c r="J64" s="9" t="str">
        <f>RIGHT(Table14[[#This Row],[Employee ID]],4)</f>
        <v>1062</v>
      </c>
      <c r="K64" t="str">
        <f>PROPER(Table14[[#This Row],[Name]])</f>
        <v>Chris Lee</v>
      </c>
      <c r="L64" t="str">
        <f>UPPER(Table14[[#This Row],[Country]])</f>
        <v>UK</v>
      </c>
      <c r="M64" t="str">
        <f>LOWER(Table14[[#This Row],[Country]])</f>
        <v>uk</v>
      </c>
    </row>
    <row r="65" spans="1:13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9">
        <v>36541</v>
      </c>
      <c r="F65" s="45">
        <v>42449</v>
      </c>
      <c r="G65" s="9">
        <v>2</v>
      </c>
      <c r="H65" s="7" t="s">
        <v>179</v>
      </c>
      <c r="I65" s="7" t="s">
        <v>235</v>
      </c>
      <c r="J65" s="9" t="str">
        <f>RIGHT(Table14[[#This Row],[Employee ID]],4)</f>
        <v>1063</v>
      </c>
      <c r="K65" t="str">
        <f>PROPER(Table14[[#This Row],[Name]])</f>
        <v>Eve Adams</v>
      </c>
      <c r="L65" t="str">
        <f>UPPER(Table14[[#This Row],[Country]])</f>
        <v>USA</v>
      </c>
      <c r="M65" t="str">
        <f>LOWER(Table14[[#This Row],[Country]])</f>
        <v>usa</v>
      </c>
    </row>
    <row r="66" spans="1:13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9">
        <v>84737</v>
      </c>
      <c r="F66" s="45">
        <v>42456</v>
      </c>
      <c r="G66" s="9">
        <v>1</v>
      </c>
      <c r="H66" s="7" t="s">
        <v>180</v>
      </c>
      <c r="I66" s="7" t="s">
        <v>236</v>
      </c>
      <c r="J66" s="9" t="str">
        <f>RIGHT(Table14[[#This Row],[Employee ID]],4)</f>
        <v>1064</v>
      </c>
      <c r="K66" t="str">
        <f>PROPER(Table14[[#This Row],[Name]])</f>
        <v>John Doe</v>
      </c>
      <c r="L66" t="str">
        <f>UPPER(Table14[[#This Row],[Country]])</f>
        <v>INDIA</v>
      </c>
      <c r="M66" t="str">
        <f>LOWER(Table14[[#This Row],[Country]])</f>
        <v>india</v>
      </c>
    </row>
    <row r="67" spans="1:13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9">
        <v>33468</v>
      </c>
      <c r="F67" s="45">
        <v>42463</v>
      </c>
      <c r="G67" s="9">
        <v>4</v>
      </c>
      <c r="H67" s="7" t="s">
        <v>180</v>
      </c>
      <c r="I67" s="7" t="s">
        <v>237</v>
      </c>
      <c r="J67" s="9" t="str">
        <f>RIGHT(Table14[[#This Row],[Employee ID]],4)</f>
        <v>1065</v>
      </c>
      <c r="K67" t="str">
        <f>PROPER(Table14[[#This Row],[Name]])</f>
        <v>Sam Wilson</v>
      </c>
      <c r="L67" t="str">
        <f>UPPER(Table14[[#This Row],[Country]])</f>
        <v>INDIA</v>
      </c>
      <c r="M67" t="str">
        <f>LOWER(Table14[[#This Row],[Country]])</f>
        <v>india</v>
      </c>
    </row>
    <row r="68" spans="1:13" x14ac:dyDescent="0.3">
      <c r="A68" s="7" t="s">
        <v>75</v>
      </c>
      <c r="B68" s="7" t="s">
        <v>163</v>
      </c>
      <c r="C68" s="7"/>
      <c r="D68" s="7" t="s">
        <v>176</v>
      </c>
      <c r="E68" s="9">
        <v>96365</v>
      </c>
      <c r="F68" s="45">
        <v>42470</v>
      </c>
      <c r="G68" s="9">
        <v>3</v>
      </c>
      <c r="H68" s="7" t="s">
        <v>179</v>
      </c>
      <c r="I68" s="7" t="s">
        <v>238</v>
      </c>
      <c r="J68" s="9" t="str">
        <f>RIGHT(Table14[[#This Row],[Employee ID]],4)</f>
        <v>1066</v>
      </c>
      <c r="K68" t="str">
        <f>PROPER(Table14[[#This Row],[Name]])</f>
        <v>Sam Wilson</v>
      </c>
      <c r="L68" t="str">
        <f>UPPER(Table14[[#This Row],[Country]])</f>
        <v>AUSTRALIA</v>
      </c>
      <c r="M68" t="str">
        <f>LOWER(Table14[[#This Row],[Country]])</f>
        <v>australia</v>
      </c>
    </row>
    <row r="69" spans="1:13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9">
        <v>61942</v>
      </c>
      <c r="F69" s="45">
        <v>42477</v>
      </c>
      <c r="G69" s="9">
        <v>3</v>
      </c>
      <c r="H69" s="7" t="s">
        <v>181</v>
      </c>
      <c r="I69" s="7" t="s">
        <v>239</v>
      </c>
      <c r="J69" s="9" t="str">
        <f>RIGHT(Table14[[#This Row],[Employee ID]],4)</f>
        <v>1067</v>
      </c>
      <c r="K69" t="str">
        <f>PROPER(Table14[[#This Row],[Name]])</f>
        <v>Alice Brown</v>
      </c>
      <c r="L69" t="str">
        <f>UPPER(Table14[[#This Row],[Country]])</f>
        <v>INDIA</v>
      </c>
      <c r="M69" t="str">
        <f>LOWER(Table14[[#This Row],[Country]])</f>
        <v>india</v>
      </c>
    </row>
    <row r="70" spans="1:13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9">
        <v>41467</v>
      </c>
      <c r="F70" s="45">
        <v>42484</v>
      </c>
      <c r="G70" s="9">
        <v>2</v>
      </c>
      <c r="H70" s="7"/>
      <c r="I70" s="7" t="s">
        <v>201</v>
      </c>
      <c r="J70" s="9" t="str">
        <f>RIGHT(Table14[[#This Row],[Employee ID]],4)</f>
        <v>1068</v>
      </c>
      <c r="K70" t="str">
        <f>PROPER(Table14[[#This Row],[Name]])</f>
        <v>Sam Wilson</v>
      </c>
      <c r="L70" t="str">
        <f>UPPER(Table14[[#This Row],[Country]])</f>
        <v>UK</v>
      </c>
      <c r="M70" t="str">
        <f>LOWER(Table14[[#This Row],[Country]])</f>
        <v>uk</v>
      </c>
    </row>
    <row r="71" spans="1:13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9">
        <v>77096</v>
      </c>
      <c r="F71" s="45">
        <v>42491</v>
      </c>
      <c r="G71" s="9">
        <v>1</v>
      </c>
      <c r="H71" s="7"/>
      <c r="I71" s="7" t="s">
        <v>240</v>
      </c>
      <c r="J71" s="9" t="str">
        <f>RIGHT(Table14[[#This Row],[Employee ID]],4)</f>
        <v>1069</v>
      </c>
      <c r="K71" t="str">
        <f>PROPER(Table14[[#This Row],[Name]])</f>
        <v>Bob Johnson</v>
      </c>
      <c r="L71" t="str">
        <f>UPPER(Table14[[#This Row],[Country]])</f>
        <v>INDIA</v>
      </c>
      <c r="M71" t="str">
        <f>LOWER(Table14[[#This Row],[Country]])</f>
        <v>india</v>
      </c>
    </row>
    <row r="72" spans="1:13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9">
        <v>69952</v>
      </c>
      <c r="F72" s="45">
        <v>42498</v>
      </c>
      <c r="G72" s="9">
        <v>5</v>
      </c>
      <c r="H72" s="7" t="s">
        <v>181</v>
      </c>
      <c r="I72" s="7" t="s">
        <v>182</v>
      </c>
      <c r="J72" s="9" t="str">
        <f>RIGHT(Table14[[#This Row],[Employee ID]],4)</f>
        <v>1070</v>
      </c>
      <c r="K72" t="str">
        <f>PROPER(Table14[[#This Row],[Name]])</f>
        <v>Eve Adams</v>
      </c>
      <c r="L72" t="str">
        <f>UPPER(Table14[[#This Row],[Country]])</f>
        <v>AUSTRALIA</v>
      </c>
      <c r="M72" t="str">
        <f>LOWER(Table14[[#This Row],[Country]])</f>
        <v>australia</v>
      </c>
    </row>
    <row r="73" spans="1:13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9">
        <v>85065</v>
      </c>
      <c r="F73" s="45">
        <v>42505</v>
      </c>
      <c r="G73" s="9">
        <v>3</v>
      </c>
      <c r="H73" s="7"/>
      <c r="I73" s="7" t="s">
        <v>241</v>
      </c>
      <c r="J73" s="9" t="str">
        <f>RIGHT(Table14[[#This Row],[Employee ID]],4)</f>
        <v>1071</v>
      </c>
      <c r="K73" t="str">
        <f>PROPER(Table14[[#This Row],[Name]])</f>
        <v>Eve Adams</v>
      </c>
      <c r="L73" t="str">
        <f>UPPER(Table14[[#This Row],[Country]])</f>
        <v>USA</v>
      </c>
      <c r="M73" t="str">
        <f>LOWER(Table14[[#This Row],[Country]])</f>
        <v>usa</v>
      </c>
    </row>
    <row r="74" spans="1:13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9">
        <v>56512</v>
      </c>
      <c r="F74" s="45">
        <v>42512</v>
      </c>
      <c r="G74" s="9"/>
      <c r="H74" s="7" t="s">
        <v>179</v>
      </c>
      <c r="I74" s="7" t="s">
        <v>190</v>
      </c>
      <c r="J74" s="9" t="str">
        <f>RIGHT(Table14[[#This Row],[Employee ID]],4)</f>
        <v>1072</v>
      </c>
      <c r="K74" t="str">
        <f>PROPER(Table14[[#This Row],[Name]])</f>
        <v>Bob Johnson</v>
      </c>
      <c r="L74" t="str">
        <f>UPPER(Table14[[#This Row],[Country]])</f>
        <v>INDIA</v>
      </c>
      <c r="M74" t="str">
        <f>LOWER(Table14[[#This Row],[Country]])</f>
        <v>india</v>
      </c>
    </row>
    <row r="75" spans="1:13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9">
        <v>91101</v>
      </c>
      <c r="F75" s="45">
        <v>42519</v>
      </c>
      <c r="G75" s="9">
        <v>4</v>
      </c>
      <c r="H75" s="7" t="s">
        <v>181</v>
      </c>
      <c r="I75" s="7" t="s">
        <v>234</v>
      </c>
      <c r="J75" s="9" t="str">
        <f>RIGHT(Table14[[#This Row],[Employee ID]],4)</f>
        <v>1073</v>
      </c>
      <c r="K75" t="str">
        <f>PROPER(Table14[[#This Row],[Name]])</f>
        <v>John Doe</v>
      </c>
      <c r="L75" t="str">
        <f>UPPER(Table14[[#This Row],[Country]])</f>
        <v>INDIA</v>
      </c>
      <c r="M75" t="str">
        <f>LOWER(Table14[[#This Row],[Country]])</f>
        <v>india</v>
      </c>
    </row>
    <row r="76" spans="1:13" x14ac:dyDescent="0.3">
      <c r="A76" s="7" t="s">
        <v>83</v>
      </c>
      <c r="B76" s="7" t="s">
        <v>163</v>
      </c>
      <c r="C76" s="7"/>
      <c r="D76" s="7" t="s">
        <v>172</v>
      </c>
      <c r="E76" s="9">
        <v>41243</v>
      </c>
      <c r="F76" s="45">
        <v>42526</v>
      </c>
      <c r="G76" s="9"/>
      <c r="H76" s="7"/>
      <c r="I76" s="7" t="s">
        <v>211</v>
      </c>
      <c r="J76" s="9" t="str">
        <f>RIGHT(Table14[[#This Row],[Employee ID]],4)</f>
        <v>1074</v>
      </c>
      <c r="K76" t="str">
        <f>PROPER(Table14[[#This Row],[Name]])</f>
        <v>Sam Wilson</v>
      </c>
      <c r="L76" t="str">
        <f>UPPER(Table14[[#This Row],[Country]])</f>
        <v>GERMANY</v>
      </c>
      <c r="M76" t="str">
        <f>LOWER(Table14[[#This Row],[Country]])</f>
        <v>germany</v>
      </c>
    </row>
    <row r="77" spans="1:13" x14ac:dyDescent="0.3">
      <c r="A77" s="7" t="s">
        <v>84</v>
      </c>
      <c r="B77" s="7"/>
      <c r="C77" s="7" t="s">
        <v>168</v>
      </c>
      <c r="D77" s="7" t="s">
        <v>171</v>
      </c>
      <c r="E77" s="9">
        <v>96142</v>
      </c>
      <c r="F77" s="45">
        <v>42533</v>
      </c>
      <c r="G77" s="9">
        <v>1</v>
      </c>
      <c r="H77" s="7" t="s">
        <v>179</v>
      </c>
      <c r="I77" s="7" t="s">
        <v>242</v>
      </c>
      <c r="J77" s="9" t="str">
        <f>RIGHT(Table14[[#This Row],[Employee ID]],4)</f>
        <v>1075</v>
      </c>
      <c r="K77" t="str">
        <f>PROPER(Table14[[#This Row],[Name]])</f>
        <v/>
      </c>
      <c r="L77" t="str">
        <f>UPPER(Table14[[#This Row],[Country]])</f>
        <v xml:space="preserve"> </v>
      </c>
      <c r="M77" t="str">
        <f>LOWER(Table14[[#This Row],[Country]])</f>
        <v xml:space="preserve"> </v>
      </c>
    </row>
    <row r="78" spans="1:13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9">
        <v>94301</v>
      </c>
      <c r="F78" s="45">
        <v>42540</v>
      </c>
      <c r="G78" s="9">
        <v>1</v>
      </c>
      <c r="H78" s="7" t="s">
        <v>180</v>
      </c>
      <c r="I78" s="7" t="s">
        <v>223</v>
      </c>
      <c r="J78" s="9" t="str">
        <f>RIGHT(Table14[[#This Row],[Employee ID]],4)</f>
        <v>1076</v>
      </c>
      <c r="K78" t="str">
        <f>PROPER(Table14[[#This Row],[Name]])</f>
        <v>Eve Adams</v>
      </c>
      <c r="L78" t="str">
        <f>UPPER(Table14[[#This Row],[Country]])</f>
        <v>INDIA</v>
      </c>
      <c r="M78" t="str">
        <f>LOWER(Table14[[#This Row],[Country]])</f>
        <v>india</v>
      </c>
    </row>
    <row r="79" spans="1:13" x14ac:dyDescent="0.3">
      <c r="A79" s="7" t="s">
        <v>86</v>
      </c>
      <c r="B79" s="7" t="s">
        <v>162</v>
      </c>
      <c r="C79" s="7"/>
      <c r="D79" s="7" t="s">
        <v>175</v>
      </c>
      <c r="E79" s="9">
        <v>69166</v>
      </c>
      <c r="F79" s="45">
        <v>42547</v>
      </c>
      <c r="G79" s="9">
        <v>1</v>
      </c>
      <c r="H79" s="7" t="s">
        <v>181</v>
      </c>
      <c r="I79" s="7" t="s">
        <v>243</v>
      </c>
      <c r="J79" s="9" t="str">
        <f>RIGHT(Table14[[#This Row],[Employee ID]],4)</f>
        <v>1077</v>
      </c>
      <c r="K79" t="str">
        <f>PROPER(Table14[[#This Row],[Name]])</f>
        <v>Jane Smith</v>
      </c>
      <c r="L79" t="str">
        <f>UPPER(Table14[[#This Row],[Country]])</f>
        <v>UK</v>
      </c>
      <c r="M79" t="str">
        <f>LOWER(Table14[[#This Row],[Country]])</f>
        <v>uk</v>
      </c>
    </row>
    <row r="80" spans="1:13" x14ac:dyDescent="0.3">
      <c r="A80" s="7" t="s">
        <v>87</v>
      </c>
      <c r="B80" s="7" t="s">
        <v>163</v>
      </c>
      <c r="C80" s="7"/>
      <c r="D80" s="7" t="s">
        <v>175</v>
      </c>
      <c r="E80" s="9">
        <v>78245</v>
      </c>
      <c r="F80" s="45">
        <v>42554</v>
      </c>
      <c r="G80" s="9">
        <v>2</v>
      </c>
      <c r="H80" s="7"/>
      <c r="I80" s="7" t="s">
        <v>244</v>
      </c>
      <c r="J80" s="9" t="str">
        <f>RIGHT(Table14[[#This Row],[Employee ID]],4)</f>
        <v>1078</v>
      </c>
      <c r="K80" t="str">
        <f>PROPER(Table14[[#This Row],[Name]])</f>
        <v>Sam Wilson</v>
      </c>
      <c r="L80" t="str">
        <f>UPPER(Table14[[#This Row],[Country]])</f>
        <v>UK</v>
      </c>
      <c r="M80" t="str">
        <f>LOWER(Table14[[#This Row],[Country]])</f>
        <v>uk</v>
      </c>
    </row>
    <row r="81" spans="1:13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9">
        <v>66079</v>
      </c>
      <c r="F81" s="45">
        <v>42561</v>
      </c>
      <c r="G81" s="9">
        <v>2</v>
      </c>
      <c r="H81" s="7" t="s">
        <v>179</v>
      </c>
      <c r="I81" s="7" t="s">
        <v>245</v>
      </c>
      <c r="J81" s="9" t="str">
        <f>RIGHT(Table14[[#This Row],[Employee ID]],4)</f>
        <v>1079</v>
      </c>
      <c r="K81" t="str">
        <f>PROPER(Table14[[#This Row],[Name]])</f>
        <v>Chris Lee</v>
      </c>
      <c r="L81" t="str">
        <f>UPPER(Table14[[#This Row],[Country]])</f>
        <v>USA</v>
      </c>
      <c r="M81" t="str">
        <f>LOWER(Table14[[#This Row],[Country]])</f>
        <v>usa</v>
      </c>
    </row>
    <row r="82" spans="1:13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9" t="s">
        <v>177</v>
      </c>
      <c r="F82" s="45"/>
      <c r="G82" s="9"/>
      <c r="H82" s="7"/>
      <c r="I82" s="7" t="s">
        <v>208</v>
      </c>
      <c r="J82" s="9" t="str">
        <f>RIGHT(Table14[[#This Row],[Employee ID]],4)</f>
        <v>1080</v>
      </c>
      <c r="K82" t="str">
        <f>PROPER(Table14[[#This Row],[Name]])</f>
        <v>Eve Adams</v>
      </c>
      <c r="L82" t="str">
        <f>UPPER(Table14[[#This Row],[Country]])</f>
        <v>INDIA</v>
      </c>
      <c r="M82" t="str">
        <f>LOWER(Table14[[#This Row],[Country]])</f>
        <v>india</v>
      </c>
    </row>
    <row r="83" spans="1:13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9">
        <v>95621</v>
      </c>
      <c r="F83" s="45">
        <v>42575</v>
      </c>
      <c r="G83" s="9">
        <v>3</v>
      </c>
      <c r="H83" s="7" t="s">
        <v>181</v>
      </c>
      <c r="I83" s="7" t="s">
        <v>246</v>
      </c>
      <c r="J83" s="9" t="str">
        <f>RIGHT(Table14[[#This Row],[Employee ID]],4)</f>
        <v>1081</v>
      </c>
      <c r="K83" t="str">
        <f>PROPER(Table14[[#This Row],[Name]])</f>
        <v>Jane Smith</v>
      </c>
      <c r="L83" t="str">
        <f>UPPER(Table14[[#This Row],[Country]])</f>
        <v>USA</v>
      </c>
      <c r="M83" t="str">
        <f>LOWER(Table14[[#This Row],[Country]])</f>
        <v>usa</v>
      </c>
    </row>
    <row r="84" spans="1:13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9">
        <v>42262</v>
      </c>
      <c r="F84" s="45">
        <v>42582</v>
      </c>
      <c r="G84" s="9">
        <v>1</v>
      </c>
      <c r="H84" s="7"/>
      <c r="I84" s="7" t="s">
        <v>247</v>
      </c>
      <c r="J84" s="9" t="str">
        <f>RIGHT(Table14[[#This Row],[Employee ID]],4)</f>
        <v>1082</v>
      </c>
      <c r="K84" t="str">
        <f>PROPER(Table14[[#This Row],[Name]])</f>
        <v>Eve Adams</v>
      </c>
      <c r="L84" t="str">
        <f>UPPER(Table14[[#This Row],[Country]])</f>
        <v>UK</v>
      </c>
      <c r="M84" t="str">
        <f>LOWER(Table14[[#This Row],[Country]])</f>
        <v>uk</v>
      </c>
    </row>
    <row r="85" spans="1:13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9">
        <v>99621</v>
      </c>
      <c r="F85" s="45">
        <v>42589</v>
      </c>
      <c r="G85" s="9"/>
      <c r="H85" s="7" t="s">
        <v>179</v>
      </c>
      <c r="I85" s="7" t="s">
        <v>248</v>
      </c>
      <c r="J85" s="9" t="str">
        <f>RIGHT(Table14[[#This Row],[Employee ID]],4)</f>
        <v>1083</v>
      </c>
      <c r="K85" t="str">
        <f>PROPER(Table14[[#This Row],[Name]])</f>
        <v>Sam Wilson</v>
      </c>
      <c r="L85" t="str">
        <f>UPPER(Table14[[#This Row],[Country]])</f>
        <v>INDIA</v>
      </c>
      <c r="M85" t="str">
        <f>LOWER(Table14[[#This Row],[Country]])</f>
        <v>india</v>
      </c>
    </row>
    <row r="86" spans="1:13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9">
        <v>44682</v>
      </c>
      <c r="F86" s="45">
        <v>42596</v>
      </c>
      <c r="G86" s="9">
        <v>4</v>
      </c>
      <c r="H86" s="7" t="s">
        <v>181</v>
      </c>
      <c r="I86" s="7" t="s">
        <v>220</v>
      </c>
      <c r="J86" s="9" t="str">
        <f>RIGHT(Table14[[#This Row],[Employee ID]],4)</f>
        <v>1084</v>
      </c>
      <c r="K86" t="str">
        <f>PROPER(Table14[[#This Row],[Name]])</f>
        <v>John Doe</v>
      </c>
      <c r="L86" t="str">
        <f>UPPER(Table14[[#This Row],[Country]])</f>
        <v>INDIA</v>
      </c>
      <c r="M86" t="str">
        <f>LOWER(Table14[[#This Row],[Country]])</f>
        <v>india</v>
      </c>
    </row>
    <row r="87" spans="1:13" x14ac:dyDescent="0.3">
      <c r="A87" s="7" t="s">
        <v>94</v>
      </c>
      <c r="B87" s="7" t="s">
        <v>164</v>
      </c>
      <c r="C87" s="7" t="s">
        <v>166</v>
      </c>
      <c r="D87" s="7"/>
      <c r="E87" s="9">
        <v>35163</v>
      </c>
      <c r="F87" s="45">
        <v>42603</v>
      </c>
      <c r="G87" s="9">
        <v>5</v>
      </c>
      <c r="H87" s="7" t="s">
        <v>179</v>
      </c>
      <c r="I87" s="7" t="s">
        <v>249</v>
      </c>
      <c r="J87" s="9" t="str">
        <f>RIGHT(Table14[[#This Row],[Employee ID]],4)</f>
        <v>1085</v>
      </c>
      <c r="K87" t="str">
        <f>PROPER(Table14[[#This Row],[Name]])</f>
        <v>Chris Lee</v>
      </c>
      <c r="L87" t="str">
        <f>UPPER(Table14[[#This Row],[Country]])</f>
        <v/>
      </c>
      <c r="M87" t="str">
        <f>LOWER(Table14[[#This Row],[Country]])</f>
        <v/>
      </c>
    </row>
    <row r="88" spans="1:13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9">
        <v>33483</v>
      </c>
      <c r="F88" s="45">
        <v>42610</v>
      </c>
      <c r="G88" s="9">
        <v>4</v>
      </c>
      <c r="H88" s="7" t="s">
        <v>180</v>
      </c>
      <c r="I88" s="7" t="s">
        <v>250</v>
      </c>
      <c r="J88" s="9" t="str">
        <f>RIGHT(Table14[[#This Row],[Employee ID]],4)</f>
        <v>1086</v>
      </c>
      <c r="K88" t="str">
        <f>PROPER(Table14[[#This Row],[Name]])</f>
        <v>Chris Lee</v>
      </c>
      <c r="L88" t="str">
        <f>UPPER(Table14[[#This Row],[Country]])</f>
        <v>INDIA</v>
      </c>
      <c r="M88" t="str">
        <f>LOWER(Table14[[#This Row],[Country]])</f>
        <v>india</v>
      </c>
    </row>
    <row r="89" spans="1:13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9">
        <v>55303</v>
      </c>
      <c r="F89" s="45">
        <v>42617</v>
      </c>
      <c r="G89" s="9">
        <v>4</v>
      </c>
      <c r="H89" s="7" t="s">
        <v>180</v>
      </c>
      <c r="I89" s="7" t="s">
        <v>203</v>
      </c>
      <c r="J89" s="9" t="str">
        <f>RIGHT(Table14[[#This Row],[Employee ID]],4)</f>
        <v>1087</v>
      </c>
      <c r="K89" t="str">
        <f>PROPER(Table14[[#This Row],[Name]])</f>
        <v>Sam Wilson</v>
      </c>
      <c r="L89" t="str">
        <f>UPPER(Table14[[#This Row],[Country]])</f>
        <v>GERMANY</v>
      </c>
      <c r="M89" t="str">
        <f>LOWER(Table14[[#This Row],[Country]])</f>
        <v>germany</v>
      </c>
    </row>
    <row r="90" spans="1:13" x14ac:dyDescent="0.3">
      <c r="A90" s="7" t="s">
        <v>97</v>
      </c>
      <c r="B90" s="7" t="s">
        <v>164</v>
      </c>
      <c r="C90" s="7" t="s">
        <v>169</v>
      </c>
      <c r="D90" s="7"/>
      <c r="E90" s="9">
        <v>63434</v>
      </c>
      <c r="F90" s="45">
        <v>42624</v>
      </c>
      <c r="G90" s="9">
        <v>3</v>
      </c>
      <c r="H90" s="7"/>
      <c r="I90" s="7" t="s">
        <v>251</v>
      </c>
      <c r="J90" s="9" t="str">
        <f>RIGHT(Table14[[#This Row],[Employee ID]],4)</f>
        <v>1088</v>
      </c>
      <c r="K90" t="str">
        <f>PROPER(Table14[[#This Row],[Name]])</f>
        <v>Chris Lee</v>
      </c>
      <c r="L90" t="str">
        <f>UPPER(Table14[[#This Row],[Country]])</f>
        <v/>
      </c>
      <c r="M90" t="str">
        <f>LOWER(Table14[[#This Row],[Country]])</f>
        <v/>
      </c>
    </row>
    <row r="91" spans="1:13" x14ac:dyDescent="0.3">
      <c r="A91" s="7" t="s">
        <v>98</v>
      </c>
      <c r="B91" s="7" t="s">
        <v>162</v>
      </c>
      <c r="C91" s="7"/>
      <c r="D91" s="7" t="s">
        <v>176</v>
      </c>
      <c r="E91" s="9">
        <v>38830</v>
      </c>
      <c r="F91" s="45">
        <v>42631</v>
      </c>
      <c r="G91" s="9">
        <v>3</v>
      </c>
      <c r="H91" s="7" t="s">
        <v>179</v>
      </c>
      <c r="I91" s="7" t="s">
        <v>203</v>
      </c>
      <c r="J91" s="9" t="str">
        <f>RIGHT(Table14[[#This Row],[Employee ID]],4)</f>
        <v>1089</v>
      </c>
      <c r="K91" t="str">
        <f>PROPER(Table14[[#This Row],[Name]])</f>
        <v>Jane Smith</v>
      </c>
      <c r="L91" t="str">
        <f>UPPER(Table14[[#This Row],[Country]])</f>
        <v>AUSTRALIA</v>
      </c>
      <c r="M91" t="str">
        <f>LOWER(Table14[[#This Row],[Country]])</f>
        <v>australia</v>
      </c>
    </row>
    <row r="92" spans="1:13" x14ac:dyDescent="0.3">
      <c r="A92" s="7" t="s">
        <v>99</v>
      </c>
      <c r="B92" s="7"/>
      <c r="C92" s="7" t="s">
        <v>170</v>
      </c>
      <c r="D92" s="7" t="s">
        <v>175</v>
      </c>
      <c r="E92" s="9">
        <v>50741</v>
      </c>
      <c r="F92" s="45">
        <v>42638</v>
      </c>
      <c r="G92" s="9">
        <v>3</v>
      </c>
      <c r="H92" s="7" t="s">
        <v>178</v>
      </c>
      <c r="I92" s="7" t="s">
        <v>240</v>
      </c>
      <c r="J92" s="9" t="str">
        <f>RIGHT(Table14[[#This Row],[Employee ID]],4)</f>
        <v>1090</v>
      </c>
      <c r="K92" t="str">
        <f>PROPER(Table14[[#This Row],[Name]])</f>
        <v/>
      </c>
      <c r="L92" t="str">
        <f>UPPER(Table14[[#This Row],[Country]])</f>
        <v>UK</v>
      </c>
      <c r="M92" t="str">
        <f>LOWER(Table14[[#This Row],[Country]])</f>
        <v>uk</v>
      </c>
    </row>
    <row r="93" spans="1:13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9">
        <v>69420</v>
      </c>
      <c r="F93" s="45">
        <v>42645</v>
      </c>
      <c r="G93" s="9">
        <v>1</v>
      </c>
      <c r="H93" s="7" t="s">
        <v>180</v>
      </c>
      <c r="I93" s="7" t="s">
        <v>225</v>
      </c>
      <c r="J93" s="9" t="str">
        <f>RIGHT(Table14[[#This Row],[Employee ID]],4)</f>
        <v>1091</v>
      </c>
      <c r="K93" t="str">
        <f>PROPER(Table14[[#This Row],[Name]])</f>
        <v>Alice Brown</v>
      </c>
      <c r="L93" t="str">
        <f>UPPER(Table14[[#This Row],[Country]])</f>
        <v>AUSTRALIA</v>
      </c>
      <c r="M93" t="str">
        <f>LOWER(Table14[[#This Row],[Country]])</f>
        <v>australia</v>
      </c>
    </row>
    <row r="94" spans="1:13" x14ac:dyDescent="0.3">
      <c r="A94" s="7" t="s">
        <v>101</v>
      </c>
      <c r="B94" s="7" t="s">
        <v>162</v>
      </c>
      <c r="C94" s="7" t="s">
        <v>169</v>
      </c>
      <c r="D94" s="7"/>
      <c r="E94" s="9">
        <v>80588</v>
      </c>
      <c r="F94" s="45">
        <v>42652</v>
      </c>
      <c r="G94" s="9">
        <v>5</v>
      </c>
      <c r="H94" s="7" t="s">
        <v>180</v>
      </c>
      <c r="I94" s="7" t="s">
        <v>216</v>
      </c>
      <c r="J94" s="9" t="str">
        <f>RIGHT(Table14[[#This Row],[Employee ID]],4)</f>
        <v>1092</v>
      </c>
      <c r="K94" t="str">
        <f>PROPER(Table14[[#This Row],[Name]])</f>
        <v>Jane Smith</v>
      </c>
      <c r="L94" t="str">
        <f>UPPER(Table14[[#This Row],[Country]])</f>
        <v/>
      </c>
      <c r="M94" t="str">
        <f>LOWER(Table14[[#This Row],[Country]])</f>
        <v/>
      </c>
    </row>
    <row r="95" spans="1:13" x14ac:dyDescent="0.3">
      <c r="A95" s="7" t="s">
        <v>102</v>
      </c>
      <c r="B95" s="7" t="s">
        <v>160</v>
      </c>
      <c r="C95" s="7"/>
      <c r="D95" s="7" t="s">
        <v>173</v>
      </c>
      <c r="E95" s="9">
        <v>76238</v>
      </c>
      <c r="F95" s="45">
        <v>42659</v>
      </c>
      <c r="G95" s="9">
        <v>4</v>
      </c>
      <c r="H95" s="7" t="s">
        <v>180</v>
      </c>
      <c r="I95" s="7" t="s">
        <v>252</v>
      </c>
      <c r="J95" s="9" t="str">
        <f>RIGHT(Table14[[#This Row],[Employee ID]],4)</f>
        <v>1093</v>
      </c>
      <c r="K95" t="str">
        <f>PROPER(Table14[[#This Row],[Name]])</f>
        <v>Alice Brown</v>
      </c>
      <c r="L95" t="str">
        <f>UPPER(Table14[[#This Row],[Country]])</f>
        <v>USA</v>
      </c>
      <c r="M95" t="str">
        <f>LOWER(Table14[[#This Row],[Country]])</f>
        <v>usa</v>
      </c>
    </row>
    <row r="96" spans="1:13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9">
        <v>33264</v>
      </c>
      <c r="F96" s="45">
        <v>42666</v>
      </c>
      <c r="G96" s="9"/>
      <c r="H96" s="7" t="s">
        <v>181</v>
      </c>
      <c r="I96" s="7" t="s">
        <v>253</v>
      </c>
      <c r="J96" s="9" t="str">
        <f>RIGHT(Table14[[#This Row],[Employee ID]],4)</f>
        <v>1094</v>
      </c>
      <c r="K96" t="str">
        <f>PROPER(Table14[[#This Row],[Name]])</f>
        <v>Bob Johnson</v>
      </c>
      <c r="L96" t="str">
        <f>UPPER(Table14[[#This Row],[Country]])</f>
        <v>INDIA</v>
      </c>
      <c r="M96" t="str">
        <f>LOWER(Table14[[#This Row],[Country]])</f>
        <v>india</v>
      </c>
    </row>
    <row r="97" spans="1:13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9">
        <v>96101</v>
      </c>
      <c r="F97" s="45">
        <v>42673</v>
      </c>
      <c r="G97" s="9"/>
      <c r="H97" s="7" t="s">
        <v>179</v>
      </c>
      <c r="I97" s="7" t="s">
        <v>254</v>
      </c>
      <c r="J97" s="9" t="str">
        <f>RIGHT(Table14[[#This Row],[Employee ID]],4)</f>
        <v>1095</v>
      </c>
      <c r="K97" t="str">
        <f>PROPER(Table14[[#This Row],[Name]])</f>
        <v>Alice Brown</v>
      </c>
      <c r="L97" t="str">
        <f>UPPER(Table14[[#This Row],[Country]])</f>
        <v>AUSTRALIA</v>
      </c>
      <c r="M97" t="str">
        <f>LOWER(Table14[[#This Row],[Country]])</f>
        <v>australia</v>
      </c>
    </row>
    <row r="98" spans="1:13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9">
        <v>72939</v>
      </c>
      <c r="F98" s="45">
        <v>42680</v>
      </c>
      <c r="G98" s="9">
        <v>3</v>
      </c>
      <c r="H98" s="7"/>
      <c r="I98" s="7" t="s">
        <v>255</v>
      </c>
      <c r="J98" s="9" t="str">
        <f>RIGHT(Table14[[#This Row],[Employee ID]],4)</f>
        <v>1096</v>
      </c>
      <c r="K98" t="str">
        <f>PROPER(Table14[[#This Row],[Name]])</f>
        <v>Jane Smith</v>
      </c>
      <c r="L98" t="str">
        <f>UPPER(Table14[[#This Row],[Country]])</f>
        <v>USA</v>
      </c>
      <c r="M98" t="str">
        <f>LOWER(Table14[[#This Row],[Country]])</f>
        <v>usa</v>
      </c>
    </row>
    <row r="99" spans="1:13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9">
        <v>89333</v>
      </c>
      <c r="F99" s="45">
        <v>42687</v>
      </c>
      <c r="G99" s="9">
        <v>1</v>
      </c>
      <c r="H99" s="7" t="s">
        <v>180</v>
      </c>
      <c r="I99" s="7" t="s">
        <v>256</v>
      </c>
      <c r="J99" s="9" t="str">
        <f>RIGHT(Table14[[#This Row],[Employee ID]],4)</f>
        <v>1097</v>
      </c>
      <c r="K99" t="str">
        <f>PROPER(Table14[[#This Row],[Name]])</f>
        <v>Sam Wilson</v>
      </c>
      <c r="L99" t="str">
        <f>UPPER(Table14[[#This Row],[Country]])</f>
        <v>GERMANY</v>
      </c>
      <c r="M99" t="str">
        <f>LOWER(Table14[[#This Row],[Country]])</f>
        <v>germany</v>
      </c>
    </row>
    <row r="100" spans="1:13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9">
        <v>70470</v>
      </c>
      <c r="F100" s="45">
        <v>42694</v>
      </c>
      <c r="G100" s="9"/>
      <c r="H100" s="7" t="s">
        <v>180</v>
      </c>
      <c r="I100" s="7" t="s">
        <v>257</v>
      </c>
      <c r="J100" s="9" t="str">
        <f>RIGHT(Table14[[#This Row],[Employee ID]],4)</f>
        <v>1098</v>
      </c>
      <c r="K100" t="str">
        <f>PROPER(Table14[[#This Row],[Name]])</f>
        <v>Bob Johnson</v>
      </c>
      <c r="L100" t="str">
        <f>UPPER(Table14[[#This Row],[Country]])</f>
        <v>AUSTRALIA</v>
      </c>
      <c r="M100" t="str">
        <f>LOWER(Table14[[#This Row],[Country]])</f>
        <v>australia</v>
      </c>
    </row>
    <row r="101" spans="1:13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9">
        <v>70096</v>
      </c>
      <c r="F101" s="45">
        <v>42701</v>
      </c>
      <c r="G101" s="9">
        <v>4</v>
      </c>
      <c r="H101" s="7" t="s">
        <v>180</v>
      </c>
      <c r="I101" s="7" t="s">
        <v>258</v>
      </c>
      <c r="J101" s="9" t="str">
        <f>RIGHT(Table14[[#This Row],[Employee ID]],4)</f>
        <v>1099</v>
      </c>
      <c r="K101" t="str">
        <f>PROPER(Table14[[#This Row],[Name]])</f>
        <v>Eve Adams</v>
      </c>
      <c r="L101" t="str">
        <f>UPPER(Table14[[#This Row],[Country]])</f>
        <v>USA</v>
      </c>
      <c r="M101" t="str">
        <f>LOWER(Table14[[#This Row],[Country]])</f>
        <v>usa</v>
      </c>
    </row>
    <row r="102" spans="1:13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9" t="s">
        <v>177</v>
      </c>
      <c r="F102" s="45">
        <v>42708</v>
      </c>
      <c r="G102" s="9">
        <v>2</v>
      </c>
      <c r="H102" s="7" t="s">
        <v>179</v>
      </c>
      <c r="I102" s="7" t="s">
        <v>259</v>
      </c>
      <c r="J102" s="9" t="str">
        <f>RIGHT(Table14[[#This Row],[Employee ID]],4)</f>
        <v>1100</v>
      </c>
      <c r="K102" t="str">
        <f>PROPER(Table14[[#This Row],[Name]])</f>
        <v>Bob Johnson</v>
      </c>
      <c r="L102" t="str">
        <f>UPPER(Table14[[#This Row],[Country]])</f>
        <v xml:space="preserve"> </v>
      </c>
      <c r="M102" t="str">
        <f>LOWER(Table14[[#This Row],[Country]])</f>
        <v xml:space="preserve"> </v>
      </c>
    </row>
    <row r="103" spans="1:13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9">
        <v>66503</v>
      </c>
      <c r="F103" s="45">
        <v>42715</v>
      </c>
      <c r="G103" s="9"/>
      <c r="H103" s="7" t="s">
        <v>180</v>
      </c>
      <c r="I103" s="7" t="s">
        <v>200</v>
      </c>
      <c r="J103" s="9" t="str">
        <f>RIGHT(Table14[[#This Row],[Employee ID]],4)</f>
        <v>1101</v>
      </c>
      <c r="K103" t="str">
        <f>PROPER(Table14[[#This Row],[Name]])</f>
        <v>Bob Johnson</v>
      </c>
      <c r="L103" t="str">
        <f>UPPER(Table14[[#This Row],[Country]])</f>
        <v>GERMANY</v>
      </c>
      <c r="M103" t="str">
        <f>LOWER(Table14[[#This Row],[Country]])</f>
        <v>germany</v>
      </c>
    </row>
    <row r="104" spans="1:13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9">
        <v>42096</v>
      </c>
      <c r="F104" s="45">
        <v>42722</v>
      </c>
      <c r="G104" s="9"/>
      <c r="H104" s="7" t="s">
        <v>181</v>
      </c>
      <c r="I104" s="7" t="s">
        <v>260</v>
      </c>
      <c r="J104" s="9" t="str">
        <f>RIGHT(Table14[[#This Row],[Employee ID]],4)</f>
        <v>1102</v>
      </c>
      <c r="K104" t="str">
        <f>PROPER(Table14[[#This Row],[Name]])</f>
        <v>Alice Brown</v>
      </c>
      <c r="L104" t="str">
        <f>UPPER(Table14[[#This Row],[Country]])</f>
        <v>GERMANY</v>
      </c>
      <c r="M104" t="str">
        <f>LOWER(Table14[[#This Row],[Country]])</f>
        <v>germany</v>
      </c>
    </row>
    <row r="105" spans="1:13" x14ac:dyDescent="0.3">
      <c r="A105" s="7" t="s">
        <v>112</v>
      </c>
      <c r="B105" s="7" t="s">
        <v>160</v>
      </c>
      <c r="C105" s="7" t="s">
        <v>170</v>
      </c>
      <c r="D105" s="7"/>
      <c r="E105" s="9">
        <v>79145</v>
      </c>
      <c r="F105" s="45">
        <v>42729</v>
      </c>
      <c r="G105" s="9">
        <v>5</v>
      </c>
      <c r="H105" s="7" t="s">
        <v>179</v>
      </c>
      <c r="I105" s="7" t="s">
        <v>223</v>
      </c>
      <c r="J105" s="9" t="str">
        <f>RIGHT(Table14[[#This Row],[Employee ID]],4)</f>
        <v>1103</v>
      </c>
      <c r="K105" t="str">
        <f>PROPER(Table14[[#This Row],[Name]])</f>
        <v>Alice Brown</v>
      </c>
      <c r="L105" t="str">
        <f>UPPER(Table14[[#This Row],[Country]])</f>
        <v/>
      </c>
      <c r="M105" t="str">
        <f>LOWER(Table14[[#This Row],[Country]])</f>
        <v/>
      </c>
    </row>
    <row r="106" spans="1:13" x14ac:dyDescent="0.3">
      <c r="A106" s="7" t="s">
        <v>113</v>
      </c>
      <c r="B106" s="7" t="s">
        <v>162</v>
      </c>
      <c r="C106" s="7"/>
      <c r="D106" s="7" t="s">
        <v>176</v>
      </c>
      <c r="E106" s="9">
        <v>61556</v>
      </c>
      <c r="F106" s="45">
        <v>42736</v>
      </c>
      <c r="G106" s="9">
        <v>1</v>
      </c>
      <c r="H106" s="7"/>
      <c r="I106" s="7" t="s">
        <v>259</v>
      </c>
      <c r="J106" s="9" t="str">
        <f>RIGHT(Table14[[#This Row],[Employee ID]],4)</f>
        <v>1104</v>
      </c>
      <c r="K106" t="str">
        <f>PROPER(Table14[[#This Row],[Name]])</f>
        <v>Jane Smith</v>
      </c>
      <c r="L106" t="str">
        <f>UPPER(Table14[[#This Row],[Country]])</f>
        <v>AUSTRALIA</v>
      </c>
      <c r="M106" t="str">
        <f>LOWER(Table14[[#This Row],[Country]])</f>
        <v>australia</v>
      </c>
    </row>
    <row r="107" spans="1:13" x14ac:dyDescent="0.3">
      <c r="A107" s="7" t="s">
        <v>114</v>
      </c>
      <c r="B107" s="7"/>
      <c r="C107" s="7" t="s">
        <v>167</v>
      </c>
      <c r="D107" s="7" t="s">
        <v>175</v>
      </c>
      <c r="E107" s="9">
        <v>87963</v>
      </c>
      <c r="F107" s="45">
        <v>42743</v>
      </c>
      <c r="G107" s="9">
        <v>3</v>
      </c>
      <c r="H107" s="7" t="s">
        <v>179</v>
      </c>
      <c r="I107" s="7" t="s">
        <v>182</v>
      </c>
      <c r="J107" s="9" t="str">
        <f>RIGHT(Table14[[#This Row],[Employee ID]],4)</f>
        <v>1105</v>
      </c>
      <c r="K107" t="str">
        <f>PROPER(Table14[[#This Row],[Name]])</f>
        <v/>
      </c>
      <c r="L107" t="str">
        <f>UPPER(Table14[[#This Row],[Country]])</f>
        <v>UK</v>
      </c>
      <c r="M107" t="str">
        <f>LOWER(Table14[[#This Row],[Country]])</f>
        <v>uk</v>
      </c>
    </row>
    <row r="108" spans="1:13" x14ac:dyDescent="0.3">
      <c r="A108" s="7" t="s">
        <v>115</v>
      </c>
      <c r="B108" s="7" t="s">
        <v>159</v>
      </c>
      <c r="C108" s="7" t="s">
        <v>169</v>
      </c>
      <c r="D108" s="7"/>
      <c r="E108" s="9">
        <v>48325</v>
      </c>
      <c r="F108" s="45">
        <v>42750</v>
      </c>
      <c r="G108" s="9"/>
      <c r="H108" s="7" t="s">
        <v>180</v>
      </c>
      <c r="I108" s="7" t="s">
        <v>261</v>
      </c>
      <c r="J108" s="9" t="str">
        <f>RIGHT(Table14[[#This Row],[Employee ID]],4)</f>
        <v>1106</v>
      </c>
      <c r="K108" t="str">
        <f>PROPER(Table14[[#This Row],[Name]])</f>
        <v>Eve Adams</v>
      </c>
      <c r="L108" t="str">
        <f>UPPER(Table14[[#This Row],[Country]])</f>
        <v/>
      </c>
      <c r="M108" t="str">
        <f>LOWER(Table14[[#This Row],[Country]])</f>
        <v/>
      </c>
    </row>
    <row r="109" spans="1:13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9">
        <v>86412</v>
      </c>
      <c r="F109" s="45">
        <v>42757</v>
      </c>
      <c r="G109" s="9">
        <v>2</v>
      </c>
      <c r="H109" s="7" t="s">
        <v>181</v>
      </c>
      <c r="I109" s="7" t="s">
        <v>202</v>
      </c>
      <c r="J109" s="9" t="str">
        <f>RIGHT(Table14[[#This Row],[Employee ID]],4)</f>
        <v>1107</v>
      </c>
      <c r="K109" t="str">
        <f>PROPER(Table14[[#This Row],[Name]])</f>
        <v>Sam Wilson</v>
      </c>
      <c r="L109" t="str">
        <f>UPPER(Table14[[#This Row],[Country]])</f>
        <v>AUSTRALIA</v>
      </c>
      <c r="M109" t="str">
        <f>LOWER(Table14[[#This Row],[Country]])</f>
        <v>australia</v>
      </c>
    </row>
    <row r="110" spans="1:13" x14ac:dyDescent="0.3">
      <c r="A110" s="7" t="s">
        <v>117</v>
      </c>
      <c r="B110" s="7" t="s">
        <v>163</v>
      </c>
      <c r="C110" s="7" t="s">
        <v>167</v>
      </c>
      <c r="D110" s="7"/>
      <c r="E110" s="9">
        <v>66761</v>
      </c>
      <c r="F110" s="45">
        <v>42764</v>
      </c>
      <c r="G110" s="9">
        <v>1</v>
      </c>
      <c r="H110" s="7"/>
      <c r="I110" s="7" t="s">
        <v>262</v>
      </c>
      <c r="J110" s="9" t="str">
        <f>RIGHT(Table14[[#This Row],[Employee ID]],4)</f>
        <v>1108</v>
      </c>
      <c r="K110" t="str">
        <f>PROPER(Table14[[#This Row],[Name]])</f>
        <v>Sam Wilson</v>
      </c>
      <c r="L110" t="str">
        <f>UPPER(Table14[[#This Row],[Country]])</f>
        <v/>
      </c>
      <c r="M110" t="str">
        <f>LOWER(Table14[[#This Row],[Country]])</f>
        <v/>
      </c>
    </row>
    <row r="111" spans="1:13" x14ac:dyDescent="0.3">
      <c r="A111" s="7" t="s">
        <v>118</v>
      </c>
      <c r="B111" s="7" t="s">
        <v>162</v>
      </c>
      <c r="C111" s="7"/>
      <c r="D111" s="7" t="s">
        <v>174</v>
      </c>
      <c r="E111" s="9">
        <v>88850</v>
      </c>
      <c r="F111" s="45">
        <v>42771</v>
      </c>
      <c r="G111" s="9">
        <v>1</v>
      </c>
      <c r="H111" s="7" t="s">
        <v>181</v>
      </c>
      <c r="I111" s="7" t="s">
        <v>263</v>
      </c>
      <c r="J111" s="9" t="str">
        <f>RIGHT(Table14[[#This Row],[Employee ID]],4)</f>
        <v>1109</v>
      </c>
      <c r="K111" t="str">
        <f>PROPER(Table14[[#This Row],[Name]])</f>
        <v>Jane Smith</v>
      </c>
      <c r="L111" t="str">
        <f>UPPER(Table14[[#This Row],[Country]])</f>
        <v>INDIA</v>
      </c>
      <c r="M111" t="str">
        <f>LOWER(Table14[[#This Row],[Country]])</f>
        <v>india</v>
      </c>
    </row>
    <row r="112" spans="1:13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9">
        <v>31293</v>
      </c>
      <c r="F112" s="45"/>
      <c r="G112" s="9">
        <v>2</v>
      </c>
      <c r="H112" s="7" t="s">
        <v>181</v>
      </c>
      <c r="I112" s="7" t="s">
        <v>264</v>
      </c>
      <c r="J112" s="9" t="str">
        <f>RIGHT(Table14[[#This Row],[Employee ID]],4)</f>
        <v>1110</v>
      </c>
      <c r="K112" t="str">
        <f>PROPER(Table14[[#This Row],[Name]])</f>
        <v>Chris Lee</v>
      </c>
      <c r="L112" t="str">
        <f>UPPER(Table14[[#This Row],[Country]])</f>
        <v>INDIA</v>
      </c>
      <c r="M112" t="str">
        <f>LOWER(Table14[[#This Row],[Country]])</f>
        <v>india</v>
      </c>
    </row>
    <row r="113" spans="1:13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9">
        <v>34306</v>
      </c>
      <c r="F113" s="45">
        <v>42785</v>
      </c>
      <c r="G113" s="9">
        <v>5</v>
      </c>
      <c r="H113" s="7" t="s">
        <v>181</v>
      </c>
      <c r="I113" s="7" t="s">
        <v>239</v>
      </c>
      <c r="J113" s="9" t="str">
        <f>RIGHT(Table14[[#This Row],[Employee ID]],4)</f>
        <v>1111</v>
      </c>
      <c r="K113" t="str">
        <f>PROPER(Table14[[#This Row],[Name]])</f>
        <v>Chris Lee</v>
      </c>
      <c r="L113" t="str">
        <f>UPPER(Table14[[#This Row],[Country]])</f>
        <v>USA</v>
      </c>
      <c r="M113" t="str">
        <f>LOWER(Table14[[#This Row],[Country]])</f>
        <v>usa</v>
      </c>
    </row>
    <row r="114" spans="1:13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9">
        <v>78330</v>
      </c>
      <c r="F114" s="45">
        <v>42792</v>
      </c>
      <c r="G114" s="9"/>
      <c r="H114" s="7" t="s">
        <v>179</v>
      </c>
      <c r="I114" s="7" t="s">
        <v>258</v>
      </c>
      <c r="J114" s="9" t="str">
        <f>RIGHT(Table14[[#This Row],[Employee ID]],4)</f>
        <v>1112</v>
      </c>
      <c r="K114" t="str">
        <f>PROPER(Table14[[#This Row],[Name]])</f>
        <v>Eve Adams</v>
      </c>
      <c r="L114" t="str">
        <f>UPPER(Table14[[#This Row],[Country]])</f>
        <v>INDIA</v>
      </c>
      <c r="M114" t="str">
        <f>LOWER(Table14[[#This Row],[Country]])</f>
        <v>india</v>
      </c>
    </row>
    <row r="115" spans="1:13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9">
        <v>47653</v>
      </c>
      <c r="F115" s="45">
        <v>42799</v>
      </c>
      <c r="G115" s="9">
        <v>1</v>
      </c>
      <c r="H115" s="7" t="s">
        <v>180</v>
      </c>
      <c r="I115" s="7" t="s">
        <v>265</v>
      </c>
      <c r="J115" s="9" t="str">
        <f>RIGHT(Table14[[#This Row],[Employee ID]],4)</f>
        <v>1113</v>
      </c>
      <c r="K115" t="str">
        <f>PROPER(Table14[[#This Row],[Name]])</f>
        <v>Alice Brown</v>
      </c>
      <c r="L115" t="str">
        <f>UPPER(Table14[[#This Row],[Country]])</f>
        <v>USA</v>
      </c>
      <c r="M115" t="str">
        <f>LOWER(Table14[[#This Row],[Country]])</f>
        <v>usa</v>
      </c>
    </row>
    <row r="116" spans="1:13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9">
        <v>44627</v>
      </c>
      <c r="F116" s="45">
        <v>42806</v>
      </c>
      <c r="G116" s="9">
        <v>4</v>
      </c>
      <c r="H116" s="7"/>
      <c r="I116" s="7" t="s">
        <v>235</v>
      </c>
      <c r="J116" s="9" t="str">
        <f>RIGHT(Table14[[#This Row],[Employee ID]],4)</f>
        <v>1114</v>
      </c>
      <c r="K116" t="str">
        <f>PROPER(Table14[[#This Row],[Name]])</f>
        <v>Eve Adams</v>
      </c>
      <c r="L116" t="str">
        <f>UPPER(Table14[[#This Row],[Country]])</f>
        <v>UK</v>
      </c>
      <c r="M116" t="str">
        <f>LOWER(Table14[[#This Row],[Country]])</f>
        <v>uk</v>
      </c>
    </row>
    <row r="117" spans="1:13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9">
        <v>92343</v>
      </c>
      <c r="F117" s="45">
        <v>42813</v>
      </c>
      <c r="G117" s="9">
        <v>4</v>
      </c>
      <c r="H117" s="7" t="s">
        <v>181</v>
      </c>
      <c r="I117" s="7" t="s">
        <v>203</v>
      </c>
      <c r="J117" s="9" t="str">
        <f>RIGHT(Table14[[#This Row],[Employee ID]],4)</f>
        <v>1115</v>
      </c>
      <c r="K117" t="str">
        <f>PROPER(Table14[[#This Row],[Name]])</f>
        <v>Bob Johnson</v>
      </c>
      <c r="L117" t="str">
        <f>UPPER(Table14[[#This Row],[Country]])</f>
        <v>GERMANY</v>
      </c>
      <c r="M117" t="str">
        <f>LOWER(Table14[[#This Row],[Country]])</f>
        <v>germany</v>
      </c>
    </row>
    <row r="118" spans="1:13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9">
        <v>38837</v>
      </c>
      <c r="F118" s="45">
        <v>42820</v>
      </c>
      <c r="G118" s="9">
        <v>5</v>
      </c>
      <c r="H118" s="7" t="s">
        <v>181</v>
      </c>
      <c r="I118" s="7" t="s">
        <v>239</v>
      </c>
      <c r="J118" s="9" t="str">
        <f>RIGHT(Table14[[#This Row],[Employee ID]],4)</f>
        <v>1116</v>
      </c>
      <c r="K118" t="str">
        <f>PROPER(Table14[[#This Row],[Name]])</f>
        <v>Bob Johnson</v>
      </c>
      <c r="L118" t="str">
        <f>UPPER(Table14[[#This Row],[Country]])</f>
        <v>AUSTRALIA</v>
      </c>
      <c r="M118" t="str">
        <f>LOWER(Table14[[#This Row],[Country]])</f>
        <v>australia</v>
      </c>
    </row>
    <row r="119" spans="1:13" x14ac:dyDescent="0.3">
      <c r="A119" s="7" t="s">
        <v>126</v>
      </c>
      <c r="B119" s="7" t="s">
        <v>165</v>
      </c>
      <c r="C119" s="7" t="s">
        <v>170</v>
      </c>
      <c r="D119" s="7"/>
      <c r="E119" s="9">
        <v>73483</v>
      </c>
      <c r="F119" s="45">
        <v>42827</v>
      </c>
      <c r="G119" s="9">
        <v>1</v>
      </c>
      <c r="H119" s="7"/>
      <c r="I119" s="7" t="s">
        <v>266</v>
      </c>
      <c r="J119" s="9" t="str">
        <f>RIGHT(Table14[[#This Row],[Employee ID]],4)</f>
        <v>1117</v>
      </c>
      <c r="K119" t="str">
        <f>PROPER(Table14[[#This Row],[Name]])</f>
        <v>Bob Johnson</v>
      </c>
      <c r="L119" t="str">
        <f>UPPER(Table14[[#This Row],[Country]])</f>
        <v/>
      </c>
      <c r="M119" t="str">
        <f>LOWER(Table14[[#This Row],[Country]])</f>
        <v/>
      </c>
    </row>
    <row r="120" spans="1:13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9">
        <v>95032</v>
      </c>
      <c r="F120" s="45">
        <v>42834</v>
      </c>
      <c r="G120" s="9">
        <v>3</v>
      </c>
      <c r="H120" s="7"/>
      <c r="I120" s="7" t="s">
        <v>267</v>
      </c>
      <c r="J120" s="9" t="str">
        <f>RIGHT(Table14[[#This Row],[Employee ID]],4)</f>
        <v>1118</v>
      </c>
      <c r="K120" t="str">
        <f>PROPER(Table14[[#This Row],[Name]])</f>
        <v>Chris Lee</v>
      </c>
      <c r="L120" t="str">
        <f>UPPER(Table14[[#This Row],[Country]])</f>
        <v>INDIA</v>
      </c>
      <c r="M120" t="str">
        <f>LOWER(Table14[[#This Row],[Country]])</f>
        <v>india</v>
      </c>
    </row>
    <row r="121" spans="1:13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9">
        <v>44358</v>
      </c>
      <c r="F121" s="45">
        <v>42841</v>
      </c>
      <c r="G121" s="9"/>
      <c r="H121" s="7" t="s">
        <v>181</v>
      </c>
      <c r="I121" s="7" t="s">
        <v>200</v>
      </c>
      <c r="J121" s="9" t="str">
        <f>RIGHT(Table14[[#This Row],[Employee ID]],4)</f>
        <v>1119</v>
      </c>
      <c r="K121" t="str">
        <f>PROPER(Table14[[#This Row],[Name]])</f>
        <v>Eve Adams</v>
      </c>
      <c r="L121" t="str">
        <f>UPPER(Table14[[#This Row],[Country]])</f>
        <v>AUSTRALIA</v>
      </c>
      <c r="M121" t="str">
        <f>LOWER(Table14[[#This Row],[Country]])</f>
        <v>australia</v>
      </c>
    </row>
    <row r="122" spans="1:13" x14ac:dyDescent="0.3">
      <c r="A122" s="7" t="s">
        <v>129</v>
      </c>
      <c r="B122" s="7"/>
      <c r="C122" s="7" t="s">
        <v>169</v>
      </c>
      <c r="D122" s="7" t="s">
        <v>173</v>
      </c>
      <c r="E122" s="9" t="s">
        <v>177</v>
      </c>
      <c r="F122" s="45"/>
      <c r="G122" s="9">
        <v>5</v>
      </c>
      <c r="H122" s="7" t="s">
        <v>178</v>
      </c>
      <c r="I122" s="7" t="s">
        <v>268</v>
      </c>
      <c r="J122" s="9" t="str">
        <f>RIGHT(Table14[[#This Row],[Employee ID]],4)</f>
        <v>1120</v>
      </c>
      <c r="K122" t="str">
        <f>PROPER(Table14[[#This Row],[Name]])</f>
        <v/>
      </c>
      <c r="L122" t="str">
        <f>UPPER(Table14[[#This Row],[Country]])</f>
        <v>USA</v>
      </c>
      <c r="M122" t="str">
        <f>LOWER(Table14[[#This Row],[Country]])</f>
        <v>usa</v>
      </c>
    </row>
    <row r="123" spans="1:13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9">
        <v>45676</v>
      </c>
      <c r="F123" s="45">
        <v>42855</v>
      </c>
      <c r="G123" s="9">
        <v>2</v>
      </c>
      <c r="H123" s="7"/>
      <c r="I123" s="7" t="s">
        <v>269</v>
      </c>
      <c r="J123" s="9" t="str">
        <f>RIGHT(Table14[[#This Row],[Employee ID]],4)</f>
        <v>1121</v>
      </c>
      <c r="K123" t="str">
        <f>PROPER(Table14[[#This Row],[Name]])</f>
        <v>Chris Lee</v>
      </c>
      <c r="L123" t="str">
        <f>UPPER(Table14[[#This Row],[Country]])</f>
        <v>USA</v>
      </c>
      <c r="M123" t="str">
        <f>LOWER(Table14[[#This Row],[Country]])</f>
        <v>usa</v>
      </c>
    </row>
    <row r="124" spans="1:13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9">
        <v>52036</v>
      </c>
      <c r="F124" s="45">
        <v>42862</v>
      </c>
      <c r="G124" s="9">
        <v>3</v>
      </c>
      <c r="H124" s="7" t="s">
        <v>180</v>
      </c>
      <c r="I124" s="7" t="s">
        <v>270</v>
      </c>
      <c r="J124" s="9" t="str">
        <f>RIGHT(Table14[[#This Row],[Employee ID]],4)</f>
        <v>1122</v>
      </c>
      <c r="K124" t="str">
        <f>PROPER(Table14[[#This Row],[Name]])</f>
        <v>Bob Johnson</v>
      </c>
      <c r="L124" t="str">
        <f>UPPER(Table14[[#This Row],[Country]])</f>
        <v>GERMANY</v>
      </c>
      <c r="M124" t="str">
        <f>LOWER(Table14[[#This Row],[Country]])</f>
        <v>germany</v>
      </c>
    </row>
    <row r="125" spans="1:13" x14ac:dyDescent="0.3">
      <c r="A125" s="7" t="s">
        <v>132</v>
      </c>
      <c r="B125" s="7" t="s">
        <v>162</v>
      </c>
      <c r="C125" s="7"/>
      <c r="D125" s="7" t="s">
        <v>172</v>
      </c>
      <c r="E125" s="9">
        <v>30357</v>
      </c>
      <c r="F125" s="45">
        <v>42869</v>
      </c>
      <c r="G125" s="9">
        <v>5</v>
      </c>
      <c r="H125" s="7" t="s">
        <v>180</v>
      </c>
      <c r="I125" s="7" t="s">
        <v>248</v>
      </c>
      <c r="J125" s="9" t="str">
        <f>RIGHT(Table14[[#This Row],[Employee ID]],4)</f>
        <v>1123</v>
      </c>
      <c r="K125" t="str">
        <f>PROPER(Table14[[#This Row],[Name]])</f>
        <v>Jane Smith</v>
      </c>
      <c r="L125" t="str">
        <f>UPPER(Table14[[#This Row],[Country]])</f>
        <v>GERMANY</v>
      </c>
      <c r="M125" t="str">
        <f>LOWER(Table14[[#This Row],[Country]])</f>
        <v>germany</v>
      </c>
    </row>
    <row r="126" spans="1:13" x14ac:dyDescent="0.3">
      <c r="A126" s="7" t="s">
        <v>133</v>
      </c>
      <c r="B126" s="7" t="s">
        <v>161</v>
      </c>
      <c r="C126" s="7" t="s">
        <v>169</v>
      </c>
      <c r="D126" s="7"/>
      <c r="E126" s="9">
        <v>60034</v>
      </c>
      <c r="F126" s="45">
        <v>42876</v>
      </c>
      <c r="G126" s="9">
        <v>1</v>
      </c>
      <c r="H126" s="7" t="s">
        <v>181</v>
      </c>
      <c r="I126" s="7" t="s">
        <v>271</v>
      </c>
      <c r="J126" s="9" t="str">
        <f>RIGHT(Table14[[#This Row],[Employee ID]],4)</f>
        <v>1124</v>
      </c>
      <c r="K126" t="str">
        <f>PROPER(Table14[[#This Row],[Name]])</f>
        <v>John Doe</v>
      </c>
      <c r="L126" t="str">
        <f>UPPER(Table14[[#This Row],[Country]])</f>
        <v/>
      </c>
      <c r="M126" t="str">
        <f>LOWER(Table14[[#This Row],[Country]])</f>
        <v/>
      </c>
    </row>
    <row r="127" spans="1:13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9">
        <v>90019</v>
      </c>
      <c r="F127" s="45">
        <v>42883</v>
      </c>
      <c r="G127" s="9">
        <v>5</v>
      </c>
      <c r="H127" s="7"/>
      <c r="I127" s="7" t="s">
        <v>272</v>
      </c>
      <c r="J127" s="9" t="str">
        <f>RIGHT(Table14[[#This Row],[Employee ID]],4)</f>
        <v>1125</v>
      </c>
      <c r="K127" t="str">
        <f>PROPER(Table14[[#This Row],[Name]])</f>
        <v>John Doe</v>
      </c>
      <c r="L127" t="str">
        <f>UPPER(Table14[[#This Row],[Country]])</f>
        <v xml:space="preserve"> </v>
      </c>
      <c r="M127" t="str">
        <f>LOWER(Table14[[#This Row],[Country]])</f>
        <v xml:space="preserve"> </v>
      </c>
    </row>
    <row r="128" spans="1:13" x14ac:dyDescent="0.3">
      <c r="A128" s="7" t="s">
        <v>135</v>
      </c>
      <c r="B128" s="7" t="s">
        <v>165</v>
      </c>
      <c r="C128" s="7"/>
      <c r="D128" s="7" t="s">
        <v>172</v>
      </c>
      <c r="E128" s="9">
        <v>71494</v>
      </c>
      <c r="F128" s="45">
        <v>42890</v>
      </c>
      <c r="G128" s="9">
        <v>3</v>
      </c>
      <c r="H128" s="7" t="s">
        <v>180</v>
      </c>
      <c r="I128" s="7" t="s">
        <v>273</v>
      </c>
      <c r="J128" s="9" t="str">
        <f>RIGHT(Table14[[#This Row],[Employee ID]],4)</f>
        <v>1126</v>
      </c>
      <c r="K128" t="str">
        <f>PROPER(Table14[[#This Row],[Name]])</f>
        <v>Bob Johnson</v>
      </c>
      <c r="L128" t="str">
        <f>UPPER(Table14[[#This Row],[Country]])</f>
        <v>GERMANY</v>
      </c>
      <c r="M128" t="str">
        <f>LOWER(Table14[[#This Row],[Country]])</f>
        <v>germany</v>
      </c>
    </row>
    <row r="129" spans="1:13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9">
        <v>91953</v>
      </c>
      <c r="F129" s="45">
        <v>42897</v>
      </c>
      <c r="G129" s="9">
        <v>2</v>
      </c>
      <c r="H129" s="7" t="s">
        <v>180</v>
      </c>
      <c r="I129" s="7" t="s">
        <v>209</v>
      </c>
      <c r="J129" s="9" t="str">
        <f>RIGHT(Table14[[#This Row],[Employee ID]],4)</f>
        <v>1127</v>
      </c>
      <c r="K129" t="str">
        <f>PROPER(Table14[[#This Row],[Name]])</f>
        <v>John Doe</v>
      </c>
      <c r="L129" t="str">
        <f>UPPER(Table14[[#This Row],[Country]])</f>
        <v>USA</v>
      </c>
      <c r="M129" t="str">
        <f>LOWER(Table14[[#This Row],[Country]])</f>
        <v>usa</v>
      </c>
    </row>
    <row r="130" spans="1:13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9">
        <v>30402</v>
      </c>
      <c r="F130" s="45">
        <v>42904</v>
      </c>
      <c r="G130" s="9">
        <v>1</v>
      </c>
      <c r="H130" s="7"/>
      <c r="I130" s="7" t="s">
        <v>274</v>
      </c>
      <c r="J130" s="9" t="str">
        <f>RIGHT(Table14[[#This Row],[Employee ID]],4)</f>
        <v>1128</v>
      </c>
      <c r="K130" t="str">
        <f>PROPER(Table14[[#This Row],[Name]])</f>
        <v>Chris Lee</v>
      </c>
      <c r="L130" t="str">
        <f>UPPER(Table14[[#This Row],[Country]])</f>
        <v>USA</v>
      </c>
      <c r="M130" t="str">
        <f>LOWER(Table14[[#This Row],[Country]])</f>
        <v>usa</v>
      </c>
    </row>
    <row r="131" spans="1:13" x14ac:dyDescent="0.3">
      <c r="A131" s="7" t="s">
        <v>138</v>
      </c>
      <c r="B131" s="7" t="s">
        <v>165</v>
      </c>
      <c r="C131" s="7"/>
      <c r="D131" s="7" t="s">
        <v>175</v>
      </c>
      <c r="E131" s="9">
        <v>62994</v>
      </c>
      <c r="F131" s="45">
        <v>42911</v>
      </c>
      <c r="G131" s="9"/>
      <c r="H131" s="7"/>
      <c r="I131" s="7" t="s">
        <v>221</v>
      </c>
      <c r="J131" s="9" t="str">
        <f>RIGHT(Table14[[#This Row],[Employee ID]],4)</f>
        <v>1129</v>
      </c>
      <c r="K131" t="str">
        <f>PROPER(Table14[[#This Row],[Name]])</f>
        <v>Bob Johnson</v>
      </c>
      <c r="L131" t="str">
        <f>UPPER(Table14[[#This Row],[Country]])</f>
        <v>UK</v>
      </c>
      <c r="M131" t="str">
        <f>LOWER(Table14[[#This Row],[Country]])</f>
        <v>uk</v>
      </c>
    </row>
    <row r="132" spans="1:13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9">
        <v>48289</v>
      </c>
      <c r="F132" s="45"/>
      <c r="G132" s="9">
        <v>3</v>
      </c>
      <c r="H132" s="7" t="s">
        <v>180</v>
      </c>
      <c r="I132" s="7" t="s">
        <v>189</v>
      </c>
      <c r="J132" s="9" t="str">
        <f>RIGHT(Table14[[#This Row],[Employee ID]],4)</f>
        <v>1130</v>
      </c>
      <c r="K132" t="str">
        <f>PROPER(Table14[[#This Row],[Name]])</f>
        <v>Alice Brown</v>
      </c>
      <c r="L132" t="str">
        <f>UPPER(Table14[[#This Row],[Country]])</f>
        <v>INDIA</v>
      </c>
      <c r="M132" t="str">
        <f>LOWER(Table14[[#This Row],[Country]])</f>
        <v>india</v>
      </c>
    </row>
    <row r="133" spans="1:13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9">
        <v>34402</v>
      </c>
      <c r="F133" s="45">
        <v>42925</v>
      </c>
      <c r="G133" s="9">
        <v>3</v>
      </c>
      <c r="H133" s="7" t="s">
        <v>179</v>
      </c>
      <c r="I133" s="7" t="s">
        <v>218</v>
      </c>
      <c r="J133" s="9" t="str">
        <f>RIGHT(Table14[[#This Row],[Employee ID]],4)</f>
        <v>1131</v>
      </c>
      <c r="K133" t="str">
        <f>PROPER(Table14[[#This Row],[Name]])</f>
        <v>Sam Wilson</v>
      </c>
      <c r="L133" t="str">
        <f>UPPER(Table14[[#This Row],[Country]])</f>
        <v>GERMANY</v>
      </c>
      <c r="M133" t="str">
        <f>LOWER(Table14[[#This Row],[Country]])</f>
        <v>germany</v>
      </c>
    </row>
    <row r="134" spans="1:13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9">
        <v>38678</v>
      </c>
      <c r="F134" s="45">
        <v>42932</v>
      </c>
      <c r="G134" s="9">
        <v>3</v>
      </c>
      <c r="H134" s="7" t="s">
        <v>179</v>
      </c>
      <c r="I134" s="7" t="s">
        <v>275</v>
      </c>
      <c r="J134" s="9" t="str">
        <f>RIGHT(Table14[[#This Row],[Employee ID]],4)</f>
        <v>1132</v>
      </c>
      <c r="K134" t="str">
        <f>PROPER(Table14[[#This Row],[Name]])</f>
        <v>Eve Adams</v>
      </c>
      <c r="L134" t="str">
        <f>UPPER(Table14[[#This Row],[Country]])</f>
        <v>USA</v>
      </c>
      <c r="M134" t="str">
        <f>LOWER(Table14[[#This Row],[Country]])</f>
        <v>usa</v>
      </c>
    </row>
    <row r="135" spans="1:13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9">
        <v>45758</v>
      </c>
      <c r="F135" s="45">
        <v>42939</v>
      </c>
      <c r="G135" s="9">
        <v>3</v>
      </c>
      <c r="H135" s="7"/>
      <c r="I135" s="7" t="s">
        <v>264</v>
      </c>
      <c r="J135" s="9" t="str">
        <f>RIGHT(Table14[[#This Row],[Employee ID]],4)</f>
        <v>1133</v>
      </c>
      <c r="K135" t="str">
        <f>PROPER(Table14[[#This Row],[Name]])</f>
        <v>Chris Lee</v>
      </c>
      <c r="L135" t="str">
        <f>UPPER(Table14[[#This Row],[Country]])</f>
        <v>GERMANY</v>
      </c>
      <c r="M135" t="str">
        <f>LOWER(Table14[[#This Row],[Country]])</f>
        <v>germany</v>
      </c>
    </row>
    <row r="136" spans="1:13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9">
        <v>62476</v>
      </c>
      <c r="F136" s="45">
        <v>42946</v>
      </c>
      <c r="G136" s="9">
        <v>1</v>
      </c>
      <c r="H136" s="7" t="s">
        <v>179</v>
      </c>
      <c r="I136" s="7" t="s">
        <v>231</v>
      </c>
      <c r="J136" s="9" t="str">
        <f>RIGHT(Table14[[#This Row],[Employee ID]],4)</f>
        <v>1134</v>
      </c>
      <c r="K136" t="str">
        <f>PROPER(Table14[[#This Row],[Name]])</f>
        <v>Eve Adams</v>
      </c>
      <c r="L136" t="str">
        <f>UPPER(Table14[[#This Row],[Country]])</f>
        <v>INDIA</v>
      </c>
      <c r="M136" t="str">
        <f>LOWER(Table14[[#This Row],[Country]])</f>
        <v>india</v>
      </c>
    </row>
    <row r="137" spans="1:13" x14ac:dyDescent="0.3">
      <c r="A137" s="7" t="s">
        <v>144</v>
      </c>
      <c r="B137" s="7"/>
      <c r="C137" s="7" t="s">
        <v>169</v>
      </c>
      <c r="D137" s="7" t="s">
        <v>175</v>
      </c>
      <c r="E137" s="9">
        <v>39280</v>
      </c>
      <c r="F137" s="45">
        <v>42953</v>
      </c>
      <c r="G137" s="9">
        <v>3</v>
      </c>
      <c r="H137" s="7" t="s">
        <v>181</v>
      </c>
      <c r="I137" s="7" t="s">
        <v>214</v>
      </c>
      <c r="J137" s="9" t="str">
        <f>RIGHT(Table14[[#This Row],[Employee ID]],4)</f>
        <v>1135</v>
      </c>
      <c r="K137" t="str">
        <f>PROPER(Table14[[#This Row],[Name]])</f>
        <v/>
      </c>
      <c r="L137" t="str">
        <f>UPPER(Table14[[#This Row],[Country]])</f>
        <v>UK</v>
      </c>
      <c r="M137" t="str">
        <f>LOWER(Table14[[#This Row],[Country]])</f>
        <v>uk</v>
      </c>
    </row>
    <row r="138" spans="1:13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9">
        <v>60335</v>
      </c>
      <c r="F138" s="45">
        <v>42960</v>
      </c>
      <c r="G138" s="9">
        <v>4</v>
      </c>
      <c r="H138" s="7" t="s">
        <v>179</v>
      </c>
      <c r="I138" s="7" t="s">
        <v>227</v>
      </c>
      <c r="J138" s="9" t="str">
        <f>RIGHT(Table14[[#This Row],[Employee ID]],4)</f>
        <v>1136</v>
      </c>
      <c r="K138" t="str">
        <f>PROPER(Table14[[#This Row],[Name]])</f>
        <v>Jane Smith</v>
      </c>
      <c r="L138" t="str">
        <f>UPPER(Table14[[#This Row],[Country]])</f>
        <v>INDIA</v>
      </c>
      <c r="M138" t="str">
        <f>LOWER(Table14[[#This Row],[Country]])</f>
        <v>india</v>
      </c>
    </row>
    <row r="139" spans="1:13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9">
        <v>84968</v>
      </c>
      <c r="F139" s="45">
        <v>42967</v>
      </c>
      <c r="G139" s="9"/>
      <c r="H139" s="7"/>
      <c r="I139" s="7" t="s">
        <v>276</v>
      </c>
      <c r="J139" s="9" t="str">
        <f>RIGHT(Table14[[#This Row],[Employee ID]],4)</f>
        <v>1137</v>
      </c>
      <c r="K139" t="str">
        <f>PROPER(Table14[[#This Row],[Name]])</f>
        <v>Chris Lee</v>
      </c>
      <c r="L139" t="str">
        <f>UPPER(Table14[[#This Row],[Country]])</f>
        <v>GERMANY</v>
      </c>
      <c r="M139" t="str">
        <f>LOWER(Table14[[#This Row],[Country]])</f>
        <v>germany</v>
      </c>
    </row>
    <row r="140" spans="1:13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9">
        <v>84750</v>
      </c>
      <c r="F140" s="45">
        <v>42974</v>
      </c>
      <c r="G140" s="9">
        <v>4</v>
      </c>
      <c r="H140" s="7" t="s">
        <v>181</v>
      </c>
      <c r="I140" s="7" t="s">
        <v>195</v>
      </c>
      <c r="J140" s="9" t="str">
        <f>RIGHT(Table14[[#This Row],[Employee ID]],4)</f>
        <v>1138</v>
      </c>
      <c r="K140" t="str">
        <f>PROPER(Table14[[#This Row],[Name]])</f>
        <v>Chris Lee</v>
      </c>
      <c r="L140" t="str">
        <f>UPPER(Table14[[#This Row],[Country]])</f>
        <v>AUSTRALIA</v>
      </c>
      <c r="M140" t="str">
        <f>LOWER(Table14[[#This Row],[Country]])</f>
        <v>australia</v>
      </c>
    </row>
    <row r="141" spans="1:13" x14ac:dyDescent="0.3">
      <c r="A141" s="7" t="s">
        <v>148</v>
      </c>
      <c r="B141" s="7" t="s">
        <v>165</v>
      </c>
      <c r="C141" s="7" t="s">
        <v>169</v>
      </c>
      <c r="D141" s="7"/>
      <c r="E141" s="9">
        <v>73348</v>
      </c>
      <c r="F141" s="45">
        <v>42981</v>
      </c>
      <c r="G141" s="9">
        <v>2</v>
      </c>
      <c r="H141" s="7"/>
      <c r="I141" s="7" t="s">
        <v>243</v>
      </c>
      <c r="J141" s="9" t="str">
        <f>RIGHT(Table14[[#This Row],[Employee ID]],4)</f>
        <v>1139</v>
      </c>
      <c r="K141" t="str">
        <f>PROPER(Table14[[#This Row],[Name]])</f>
        <v>Bob Johnson</v>
      </c>
      <c r="L141" t="str">
        <f>UPPER(Table14[[#This Row],[Country]])</f>
        <v/>
      </c>
      <c r="M141" t="str">
        <f>LOWER(Table14[[#This Row],[Country]])</f>
        <v/>
      </c>
    </row>
    <row r="142" spans="1:13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9" t="s">
        <v>177</v>
      </c>
      <c r="F142" s="45">
        <v>42988</v>
      </c>
      <c r="G142" s="9">
        <v>4</v>
      </c>
      <c r="H142" s="7" t="s">
        <v>179</v>
      </c>
      <c r="I142" s="7" t="s">
        <v>182</v>
      </c>
      <c r="J142" s="9" t="str">
        <f>RIGHT(Table14[[#This Row],[Employee ID]],4)</f>
        <v>1140</v>
      </c>
      <c r="K142" t="str">
        <f>PROPER(Table14[[#This Row],[Name]])</f>
        <v>Chris Lee</v>
      </c>
      <c r="L142" t="str">
        <f>UPPER(Table14[[#This Row],[Country]])</f>
        <v>USA</v>
      </c>
      <c r="M142" t="str">
        <f>LOWER(Table14[[#This Row],[Country]])</f>
        <v>usa</v>
      </c>
    </row>
    <row r="143" spans="1:13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9">
        <v>66882</v>
      </c>
      <c r="F143" s="45">
        <v>42995</v>
      </c>
      <c r="G143" s="9">
        <v>5</v>
      </c>
      <c r="H143" s="7" t="s">
        <v>179</v>
      </c>
      <c r="I143" s="7" t="s">
        <v>207</v>
      </c>
      <c r="J143" s="9" t="str">
        <f>RIGHT(Table14[[#This Row],[Employee ID]],4)</f>
        <v>1141</v>
      </c>
      <c r="K143" t="str">
        <f>PROPER(Table14[[#This Row],[Name]])</f>
        <v>Jane Smith</v>
      </c>
      <c r="L143" t="str">
        <f>UPPER(Table14[[#This Row],[Country]])</f>
        <v>USA</v>
      </c>
      <c r="M143" t="str">
        <f>LOWER(Table14[[#This Row],[Country]])</f>
        <v>usa</v>
      </c>
    </row>
    <row r="144" spans="1:13" x14ac:dyDescent="0.3">
      <c r="A144" s="7" t="s">
        <v>151</v>
      </c>
      <c r="B144" s="7" t="s">
        <v>160</v>
      </c>
      <c r="C144" s="7" t="s">
        <v>170</v>
      </c>
      <c r="D144" s="7"/>
      <c r="E144" s="9">
        <v>86775</v>
      </c>
      <c r="F144" s="45">
        <v>43002</v>
      </c>
      <c r="G144" s="9">
        <v>3</v>
      </c>
      <c r="H144" s="7" t="s">
        <v>179</v>
      </c>
      <c r="I144" s="7" t="s">
        <v>212</v>
      </c>
      <c r="J144" s="9" t="str">
        <f>RIGHT(Table14[[#This Row],[Employee ID]],4)</f>
        <v>1142</v>
      </c>
      <c r="K144" t="str">
        <f>PROPER(Table14[[#This Row],[Name]])</f>
        <v>Alice Brown</v>
      </c>
      <c r="L144" t="str">
        <f>UPPER(Table14[[#This Row],[Country]])</f>
        <v/>
      </c>
      <c r="M144" t="str">
        <f>LOWER(Table14[[#This Row],[Country]])</f>
        <v/>
      </c>
    </row>
    <row r="145" spans="1:13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9">
        <v>91620</v>
      </c>
      <c r="F145" s="45">
        <v>43009</v>
      </c>
      <c r="G145" s="9"/>
      <c r="H145" s="7"/>
      <c r="I145" s="7" t="s">
        <v>277</v>
      </c>
      <c r="J145" s="9" t="str">
        <f>RIGHT(Table14[[#This Row],[Employee ID]],4)</f>
        <v>1143</v>
      </c>
      <c r="K145" t="str">
        <f>PROPER(Table14[[#This Row],[Name]])</f>
        <v>Chris Lee</v>
      </c>
      <c r="L145" t="str">
        <f>UPPER(Table14[[#This Row],[Country]])</f>
        <v>UK</v>
      </c>
      <c r="M145" t="str">
        <f>LOWER(Table14[[#This Row],[Country]])</f>
        <v>uk</v>
      </c>
    </row>
    <row r="146" spans="1:13" x14ac:dyDescent="0.3">
      <c r="A146" s="7" t="s">
        <v>153</v>
      </c>
      <c r="B146" s="7" t="s">
        <v>159</v>
      </c>
      <c r="C146" s="7"/>
      <c r="D146" s="7"/>
      <c r="E146" s="9">
        <v>94148</v>
      </c>
      <c r="F146" s="45">
        <v>43016</v>
      </c>
      <c r="G146" s="9">
        <v>2</v>
      </c>
      <c r="H146" s="7"/>
      <c r="I146" s="7" t="s">
        <v>278</v>
      </c>
      <c r="J146" s="9" t="str">
        <f>RIGHT(Table14[[#This Row],[Employee ID]],4)</f>
        <v>1144</v>
      </c>
      <c r="K146" t="str">
        <f>PROPER(Table14[[#This Row],[Name]])</f>
        <v>Eve Adams</v>
      </c>
      <c r="L146" t="str">
        <f>UPPER(Table14[[#This Row],[Country]])</f>
        <v/>
      </c>
      <c r="M146" t="str">
        <f>LOWER(Table14[[#This Row],[Country]])</f>
        <v/>
      </c>
    </row>
    <row r="147" spans="1:13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9">
        <v>35627</v>
      </c>
      <c r="F147" s="45">
        <v>43023</v>
      </c>
      <c r="G147" s="9">
        <v>5</v>
      </c>
      <c r="H147" s="7" t="s">
        <v>181</v>
      </c>
      <c r="I147" s="7" t="s">
        <v>275</v>
      </c>
      <c r="J147" s="9" t="str">
        <f>RIGHT(Table14[[#This Row],[Employee ID]],4)</f>
        <v>1145</v>
      </c>
      <c r="K147" t="str">
        <f>PROPER(Table14[[#This Row],[Name]])</f>
        <v>Sam Wilson</v>
      </c>
      <c r="L147" t="str">
        <f>UPPER(Table14[[#This Row],[Country]])</f>
        <v>AUSTRALIA</v>
      </c>
      <c r="M147" t="str">
        <f>LOWER(Table14[[#This Row],[Country]])</f>
        <v>australia</v>
      </c>
    </row>
    <row r="148" spans="1:13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9">
        <v>57141</v>
      </c>
      <c r="F148" s="45">
        <v>43030</v>
      </c>
      <c r="G148" s="9">
        <v>2</v>
      </c>
      <c r="H148" s="7"/>
      <c r="I148" s="7" t="s">
        <v>276</v>
      </c>
      <c r="J148" s="9" t="str">
        <f>RIGHT(Table14[[#This Row],[Employee ID]],4)</f>
        <v>1146</v>
      </c>
      <c r="K148" t="str">
        <f>PROPER(Table14[[#This Row],[Name]])</f>
        <v>John Doe</v>
      </c>
      <c r="L148" t="str">
        <f>UPPER(Table14[[#This Row],[Country]])</f>
        <v>USA</v>
      </c>
      <c r="M148" t="str">
        <f>LOWER(Table14[[#This Row],[Country]])</f>
        <v>usa</v>
      </c>
    </row>
    <row r="149" spans="1:13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9">
        <v>65270</v>
      </c>
      <c r="F149" s="45">
        <v>43037</v>
      </c>
      <c r="G149" s="9">
        <v>1</v>
      </c>
      <c r="H149" s="7"/>
      <c r="I149" s="7" t="s">
        <v>279</v>
      </c>
      <c r="J149" s="9" t="str">
        <f>RIGHT(Table14[[#This Row],[Employee ID]],4)</f>
        <v>1147</v>
      </c>
      <c r="K149" t="str">
        <f>PROPER(Table14[[#This Row],[Name]])</f>
        <v>Bob Johnson</v>
      </c>
      <c r="L149" t="str">
        <f>UPPER(Table14[[#This Row],[Country]])</f>
        <v>AUSTRALIA</v>
      </c>
      <c r="M149" t="str">
        <f>LOWER(Table14[[#This Row],[Country]])</f>
        <v>australia</v>
      </c>
    </row>
    <row r="150" spans="1:13" x14ac:dyDescent="0.3">
      <c r="A150" s="7" t="s">
        <v>157</v>
      </c>
      <c r="B150" s="7" t="s">
        <v>165</v>
      </c>
      <c r="C150" s="7"/>
      <c r="D150" s="7" t="s">
        <v>175</v>
      </c>
      <c r="E150" s="9">
        <v>67335</v>
      </c>
      <c r="F150" s="45">
        <v>43044</v>
      </c>
      <c r="G150" s="9">
        <v>1</v>
      </c>
      <c r="H150" s="7" t="s">
        <v>179</v>
      </c>
      <c r="I150" s="7" t="s">
        <v>233</v>
      </c>
      <c r="J150" s="9" t="str">
        <f>RIGHT(Table14[[#This Row],[Employee ID]],4)</f>
        <v>1148</v>
      </c>
      <c r="K150" t="str">
        <f>PROPER(Table14[[#This Row],[Name]])</f>
        <v>Bob Johnson</v>
      </c>
      <c r="L150" t="str">
        <f>UPPER(Table14[[#This Row],[Country]])</f>
        <v>UK</v>
      </c>
      <c r="M150" t="str">
        <f>LOWER(Table14[[#This Row],[Country]])</f>
        <v>uk</v>
      </c>
    </row>
    <row r="151" spans="1:13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9">
        <v>98475</v>
      </c>
      <c r="F151" s="45">
        <v>43051</v>
      </c>
      <c r="G151" s="9">
        <v>5</v>
      </c>
      <c r="H151" s="7" t="s">
        <v>179</v>
      </c>
      <c r="I151" s="7" t="s">
        <v>280</v>
      </c>
      <c r="J151" s="9" t="str">
        <f>RIGHT(Table14[[#This Row],[Employee ID]],4)</f>
        <v>1149</v>
      </c>
      <c r="K151" t="str">
        <f>PROPER(Table14[[#This Row],[Name]])</f>
        <v>Sam Wilson</v>
      </c>
      <c r="L151" t="str">
        <f>UPPER(Table14[[#This Row],[Country]])</f>
        <v>INDIA</v>
      </c>
      <c r="M151" t="str">
        <f>LOWER(Table14[[#This Row],[Country]])</f>
        <v>india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Observation</vt:lpstr>
      <vt:lpstr>Changes Done</vt:lpstr>
      <vt:lpstr>Summary Table</vt:lpstr>
      <vt:lpstr>Text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nithya dharun</cp:lastModifiedBy>
  <dcterms:created xsi:type="dcterms:W3CDTF">2025-05-31T18:11:07Z</dcterms:created>
  <dcterms:modified xsi:type="dcterms:W3CDTF">2025-12-23T04:07:50Z</dcterms:modified>
</cp:coreProperties>
</file>